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<sst xmlns="http://schemas.openxmlformats.org/spreadsheetml/2006/main" count="58" uniqueCount="40">
  <si>
    <t>Employee Code</t>
  </si>
  <si>
    <t>Employee Name</t>
  </si>
  <si>
    <t>Department</t>
  </si>
  <si>
    <t>Salary</t>
  </si>
  <si>
    <t>Bonus %</t>
  </si>
  <si>
    <t>E001</t>
  </si>
  <si>
    <t>Amit Sharma</t>
  </si>
  <si>
    <t>IT</t>
  </si>
  <si>
    <t>E002</t>
  </si>
  <si>
    <t>Riya Patel</t>
  </si>
  <si>
    <t>HR</t>
  </si>
  <si>
    <t>E003</t>
  </si>
  <si>
    <t>Suman Das</t>
  </si>
  <si>
    <t>Finance</t>
  </si>
  <si>
    <t>E004</t>
  </si>
  <si>
    <t>Rahul Verma</t>
  </si>
  <si>
    <t>E005</t>
  </si>
  <si>
    <t>Neha Singh</t>
  </si>
  <si>
    <t>Marketing</t>
  </si>
  <si>
    <t>E006</t>
  </si>
  <si>
    <t>Ankit Kumar</t>
  </si>
  <si>
    <t>E007</t>
  </si>
  <si>
    <t>Pooja Mehta</t>
  </si>
  <si>
    <t>E008</t>
  </si>
  <si>
    <t>Vikram Rao</t>
  </si>
  <si>
    <t>E009</t>
  </si>
  <si>
    <t>Sneha Iyer</t>
  </si>
  <si>
    <t>E010</t>
  </si>
  <si>
    <t>Arjun Khan</t>
  </si>
  <si>
    <t xml:space="preserve">Employee id </t>
  </si>
  <si>
    <t>Emplyee name</t>
  </si>
  <si>
    <t>using vLOOKUP</t>
  </si>
  <si>
    <t>What is th e salary of E001</t>
  </si>
  <si>
    <t>Bonous%</t>
  </si>
  <si>
    <t>what is the name of E008</t>
  </si>
  <si>
    <t>what is the bonous % of E006</t>
  </si>
  <si>
    <t>what is the department of E005</t>
  </si>
  <si>
    <t>using      XLOOKUP</t>
  </si>
  <si>
    <t xml:space="preserve">department 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</si>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</sst>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);[Red]\(0.00\)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3" applyNumberFormat="1"/>
    <xf numFmtId="0" fontId="2" fillId="2" borderId="0" xfId="0" applyFont="1" applyFill="1"/>
    <xf numFmtId="0" fontId="3" fillId="3" borderId="0" xfId="0" applyFont="1" applyFill="1"/>
    <xf numFmtId="0" fontId="0" fillId="4" borderId="0" xfId="0" applyFont="1" applyFill="1"/>
    <xf numFmtId="0" fontId="0" fillId="4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tabSelected="1" workbookViewId="0">
      <selection activeCell="I13" sqref="I13"/>
    </sheetView>
  </sheetViews>
  <sheetFormatPr defaultColWidth="9" defaultRowHeight="14.5"/>
  <cols>
    <col min="1" max="1" width="19.2727272727273" customWidth="1"/>
    <col min="2" max="3" width="27.4545454545455" customWidth="1"/>
    <col min="4" max="4" width="13.9090909090909" customWidth="1"/>
    <col min="5" max="5" width="15" customWidth="1"/>
    <col min="8" max="8" width="17.3636363636364" customWidth="1"/>
    <col min="9" max="9" width="16" customWidth="1"/>
    <col min="10" max="10" width="12.454545454545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45000</v>
      </c>
      <c r="E2" s="2">
        <v>10</v>
      </c>
    </row>
    <row r="3" spans="1:5">
      <c r="A3" t="s">
        <v>8</v>
      </c>
      <c r="B3" t="s">
        <v>9</v>
      </c>
      <c r="C3" t="s">
        <v>10</v>
      </c>
      <c r="D3">
        <v>38000</v>
      </c>
      <c r="E3" s="2">
        <v>8</v>
      </c>
    </row>
    <row r="4" spans="1:5">
      <c r="A4" t="s">
        <v>11</v>
      </c>
      <c r="B4" t="s">
        <v>12</v>
      </c>
      <c r="C4" t="s">
        <v>13</v>
      </c>
      <c r="D4">
        <v>52000</v>
      </c>
      <c r="E4" s="2">
        <v>5</v>
      </c>
    </row>
    <row r="5" spans="1:5">
      <c r="A5" t="s">
        <v>14</v>
      </c>
      <c r="B5" t="s">
        <v>15</v>
      </c>
      <c r="C5" t="s">
        <v>7</v>
      </c>
      <c r="D5">
        <v>60000</v>
      </c>
      <c r="E5" s="2">
        <v>15</v>
      </c>
    </row>
    <row r="6" spans="1:5">
      <c r="A6" t="s">
        <v>16</v>
      </c>
      <c r="B6" t="s">
        <v>17</v>
      </c>
      <c r="C6" t="s">
        <v>18</v>
      </c>
      <c r="D6">
        <v>42000</v>
      </c>
      <c r="E6" s="2">
        <v>9</v>
      </c>
    </row>
    <row r="7" spans="1:5">
      <c r="A7" t="s">
        <v>19</v>
      </c>
      <c r="B7" t="s">
        <v>20</v>
      </c>
      <c r="C7" t="s">
        <v>13</v>
      </c>
      <c r="D7">
        <v>58000</v>
      </c>
      <c r="E7" s="2">
        <v>14</v>
      </c>
    </row>
    <row r="8" spans="1:5">
      <c r="A8" t="s">
        <v>21</v>
      </c>
      <c r="B8" t="s">
        <v>22</v>
      </c>
      <c r="C8" t="s">
        <v>10</v>
      </c>
      <c r="D8">
        <v>36000</v>
      </c>
      <c r="E8" s="2">
        <v>7</v>
      </c>
    </row>
    <row r="9" spans="1:5">
      <c r="A9" t="s">
        <v>23</v>
      </c>
      <c r="B9" t="s">
        <v>24</v>
      </c>
      <c r="C9" t="s">
        <v>7</v>
      </c>
      <c r="D9">
        <v>65000</v>
      </c>
      <c r="E9" s="2">
        <v>18</v>
      </c>
    </row>
    <row r="10" spans="1:5">
      <c r="A10" t="s">
        <v>25</v>
      </c>
      <c r="B10" t="s">
        <v>26</v>
      </c>
      <c r="C10" t="s">
        <v>18</v>
      </c>
      <c r="D10">
        <v>40000</v>
      </c>
      <c r="E10" s="2">
        <v>8</v>
      </c>
    </row>
    <row r="11" spans="1:9">
      <c r="A11" t="s">
        <v>27</v>
      </c>
      <c r="B11" t="s">
        <v>28</v>
      </c>
      <c r="C11" t="s">
        <v>13</v>
      </c>
      <c r="D11">
        <v>70000</v>
      </c>
      <c r="E11" s="2">
        <v>20</v>
      </c>
      <c r="H11" s="3" t="s">
        <v>29</v>
      </c>
      <c r="I11" s="3" t="s">
        <v>16</v>
      </c>
    </row>
    <row r="12" spans="8:9">
      <c r="H12" t="s">
        <v>30</v>
      </c>
      <c r="I12" t="str">
        <f>VLOOKUP(I11,A1:E11,2,FALSE)</f>
        <v>Neha Singh</v>
      </c>
    </row>
    <row r="13" spans="8:9">
      <c r="H13" t="s">
        <v>2</v>
      </c>
      <c r="I13" t="s">
        <v>10</v>
      </c>
    </row>
    <row r="14" ht="18.5" spans="3:9">
      <c r="C14" s="4" t="s">
        <v>31</v>
      </c>
      <c r="H14" t="s">
        <v>3</v>
      </c>
      <c r="I14">
        <f>VLOOKUP(I11,A1:E11,4,FALSE)</f>
        <v>42000</v>
      </c>
    </row>
    <row r="15" spans="2:9">
      <c r="B15" s="5" t="s">
        <v>32</v>
      </c>
      <c r="C15" s="5" t="s">
        <v>5</v>
      </c>
      <c r="D15" s="6">
        <f>VLOOKUP(C15,A1:E11,4,FALSE)</f>
        <v>45000</v>
      </c>
      <c r="H15" t="s">
        <v>33</v>
      </c>
      <c r="I15">
        <f>VLOOKUP(I11,A1:E11,5,FALSE)</f>
        <v>9</v>
      </c>
    </row>
    <row r="16" spans="2:4">
      <c r="B16" s="5" t="s">
        <v>34</v>
      </c>
      <c r="C16" s="5" t="s">
        <v>23</v>
      </c>
      <c r="D16" s="5" t="str">
        <f>VLOOKUP(C16,A1:E11,2,FALSE)</f>
        <v>Vikram Rao</v>
      </c>
    </row>
    <row r="17" spans="2:4">
      <c r="B17" s="5" t="s">
        <v>35</v>
      </c>
      <c r="C17" s="5" t="s">
        <v>19</v>
      </c>
      <c r="D17" s="6">
        <f>VLOOKUP(C17,A1:E11,5,FALSE)</f>
        <v>14</v>
      </c>
    </row>
    <row r="18" spans="2:4">
      <c r="B18" s="5" t="s">
        <v>36</v>
      </c>
      <c r="C18" s="5" t="s">
        <v>16</v>
      </c>
      <c r="D18" s="5" t="str">
        <f>VLOOKUP(C18,A1:E11,3,FALSE)</f>
        <v>Marketing</v>
      </c>
    </row>
    <row r="22" ht="18.5" spans="3:3">
      <c r="C22" s="4" t="s">
        <v>37</v>
      </c>
    </row>
    <row r="24" spans="3:5">
      <c r="C24" t="s">
        <v>29</v>
      </c>
      <c r="D24" t="s">
        <v>38</v>
      </c>
      <c r="E24" t="s">
        <v>39</v>
      </c>
    </row>
    <row r="25" spans="3:5">
      <c r="C25" t="s">
        <v>16</v>
      </c>
      <c r="D25" t="str">
        <f>_xlfn.XLOOKUP(C25,A1:A11,C1:C11,"Not found",0)</f>
        <v>Marketing</v>
      </c>
      <c r="E25" t="str">
        <f>_xlfn.XLOOKUP(C25,A1:A11,B1:B11,"")</f>
        <v>Neha Singh</v>
      </c>
    </row>
    <row r="27" spans="3:5">
      <c r="C27" t="s">
        <v>8</v>
      </c>
      <c r="D27" t="str">
        <f>_xlfn.XLOOKUP(C27,A3:A13,C3:C13,"Not found",0)</f>
        <v>HR</v>
      </c>
      <c r="E27" t="str">
        <f>_xlfn.XLOOKUP(C27,A3:A13,B3:B13,"")</f>
        <v>Riya Patel</v>
      </c>
    </row>
    <row r="29" spans="3:5">
      <c r="C29" t="s">
        <v>21</v>
      </c>
      <c r="D29" t="str">
        <f>_xlfn.XLOOKUP(C29,A5:A15,C5:C15,"Not found",0)</f>
        <v>HR</v>
      </c>
      <c r="E29" t="str">
        <f>_xlfn.XLOOKUP(C29,A5:A15,B5:B15,"")</f>
        <v>Pooja Mehta</v>
      </c>
    </row>
  </sheetData>
  <dataValidations count="1">
    <dataValidation type="list" allowBlank="1" showInputMessage="1" showErrorMessage="1" sqref="I11">
      <formula1>$A$2:$A$11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HEM KUMAR PANDEY</cp:lastModifiedBy>
  <dcterms:created xsi:type="dcterms:W3CDTF">2025-12-25T09:48:00Z</dcterms:created>
  <dcterms:modified xsi:type="dcterms:W3CDTF">2025-12-25T11:00:35Z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26C7B4A6FB4443148B68D0460320CB0E_12</vt:lpwstr>
  </property>
  <property fmtid="{D5CDD505-2E9C-101B-9397-08002B2CF9AE}" pid="3" name="KSOProductBuildVer">
    <vt:lpwstr>1033-12.2.0.23196</vt:lpwstr>
  </property>
</Properties>
</file>