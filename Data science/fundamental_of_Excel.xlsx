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000"/>
  </bookViews>
  <sheets>
    <sheet name="Sheet1" sheetId="1" r:id="rId1"/>
  </sheets>
  <definedNames>
    <definedName name="_xlnm._FilterDatabase" localSheetId="0" hidden="1">Sheet1!$H$20:$J$27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<sst xmlns="http://schemas.openxmlformats.org/spreadsheetml/2006/main" count="85" uniqueCount="58">
  <si>
    <t xml:space="preserve">Details of customer </t>
  </si>
  <si>
    <t>SN.NO</t>
  </si>
  <si>
    <t xml:space="preserve">Region </t>
  </si>
  <si>
    <t>Name</t>
  </si>
  <si>
    <t xml:space="preserve">Item </t>
  </si>
  <si>
    <t xml:space="preserve">Price </t>
  </si>
  <si>
    <t>unit cost</t>
  </si>
  <si>
    <t>Date</t>
  </si>
  <si>
    <t>Total</t>
  </si>
  <si>
    <t xml:space="preserve">East </t>
  </si>
  <si>
    <t>jones</t>
  </si>
  <si>
    <t>pencil</t>
  </si>
  <si>
    <t xml:space="preserve">central </t>
  </si>
  <si>
    <t xml:space="preserve">kiveli </t>
  </si>
  <si>
    <t xml:space="preserve">binder </t>
  </si>
  <si>
    <t xml:space="preserve">jardine </t>
  </si>
  <si>
    <t>Gill</t>
  </si>
  <si>
    <t xml:space="preserve">pen </t>
  </si>
  <si>
    <t>west</t>
  </si>
  <si>
    <t xml:space="preserve">Sorvino </t>
  </si>
  <si>
    <t>Pencil</t>
  </si>
  <si>
    <t>thompson</t>
  </si>
  <si>
    <t>morgan</t>
  </si>
  <si>
    <t xml:space="preserve">Name </t>
  </si>
  <si>
    <t>Age</t>
  </si>
  <si>
    <t>School</t>
  </si>
  <si>
    <t>Brijesh</t>
  </si>
  <si>
    <t>KIIt</t>
  </si>
  <si>
    <t>Kaushik</t>
  </si>
  <si>
    <t>LLM</t>
  </si>
  <si>
    <t>krishna</t>
  </si>
  <si>
    <t>LIC</t>
  </si>
  <si>
    <t>Mamta</t>
  </si>
  <si>
    <t>KIIT</t>
  </si>
  <si>
    <t>rahul</t>
  </si>
  <si>
    <t>Rajesh</t>
  </si>
  <si>
    <t>LRBS</t>
  </si>
  <si>
    <t>Samntha</t>
  </si>
  <si>
    <t xml:space="preserve">Emoloyee Name </t>
  </si>
  <si>
    <t xml:space="preserve">Salary </t>
  </si>
  <si>
    <t xml:space="preserve">Bonous </t>
  </si>
  <si>
    <t>Category</t>
  </si>
  <si>
    <t xml:space="preserve">for employee having bonus more than 2000 list in cateogry A and rest in B using if else statement </t>
  </si>
  <si>
    <t xml:space="preserve">if else statement </t>
  </si>
  <si>
    <t xml:space="preserve">for employee having bonus more than 2000 multiply with 10 and rest with 20 </t>
  </si>
  <si>
    <t xml:space="preserve">Nested if-else statement </t>
  </si>
  <si>
    <t xml:space="preserve">product </t>
  </si>
  <si>
    <t xml:space="preserve">price </t>
  </si>
  <si>
    <t xml:space="preserve">Quantity </t>
  </si>
  <si>
    <t>Ghee</t>
  </si>
  <si>
    <t>Mustard</t>
  </si>
  <si>
    <t>Noodles</t>
  </si>
  <si>
    <t xml:space="preserve">Biscuits </t>
  </si>
  <si>
    <t>Petrol</t>
  </si>
  <si>
    <t>Copy</t>
  </si>
  <si>
    <t>if price is less than 20 marked as low price</t>
  </si>
  <si>
    <t>if price is less than 200 and greater than 100 marked as mid price</t>
  </si>
  <si>
    <t>if price is greater than 200 marked as high price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</si>
</sst>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₹&quot;#,##0.00_);[Red]\(&quot;₹&quot;#,##0.00\)"/>
    <numFmt numFmtId="181" formatCode="dd/mm/yyyy"/>
    <numFmt numFmtId="182" formatCode="dd/mm/yyyy\ hh:mm"/>
  </numFmts>
  <fonts count="26">
    <font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4" applyNumberFormat="0" applyAlignment="0" applyProtection="0">
      <alignment vertical="center"/>
    </xf>
    <xf numFmtId="0" fontId="16" fillId="10" borderId="5" applyNumberFormat="0" applyAlignment="0" applyProtection="0">
      <alignment vertical="center"/>
    </xf>
    <xf numFmtId="0" fontId="17" fillId="10" borderId="4" applyNumberFormat="0" applyAlignment="0" applyProtection="0">
      <alignment vertical="center"/>
    </xf>
    <xf numFmtId="0" fontId="18" fillId="11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4" borderId="0" xfId="0" applyFont="1" applyFill="1">
      <alignment vertical="center"/>
    </xf>
    <xf numFmtId="0" fontId="5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vertical="center"/>
    </xf>
    <xf numFmtId="0" fontId="5" fillId="4" borderId="0" xfId="0" applyFont="1" applyFill="1" applyAlignment="1">
      <alignment vertical="center"/>
    </xf>
    <xf numFmtId="0" fontId="0" fillId="0" borderId="0" xfId="0" applyAlignment="1">
      <alignment vertical="center"/>
    </xf>
    <xf numFmtId="180" fontId="2" fillId="3" borderId="0" xfId="0" applyNumberFormat="1" applyFont="1" applyFill="1" applyAlignment="1">
      <alignment horizontal="center" vertical="center"/>
    </xf>
    <xf numFmtId="180" fontId="2" fillId="5" borderId="0" xfId="0" applyNumberFormat="1" applyFont="1" applyFill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81" fontId="0" fillId="0" borderId="0" xfId="0" applyNumberFormat="1">
      <alignment vertical="center"/>
    </xf>
    <xf numFmtId="180" fontId="0" fillId="6" borderId="0" xfId="0" applyNumberFormat="1" applyFill="1" applyAlignment="1">
      <alignment horizontal="center" vertical="center"/>
    </xf>
    <xf numFmtId="182" fontId="0" fillId="0" borderId="0" xfId="0" applyNumberFormat="1">
      <alignment vertical="center"/>
    </xf>
    <xf numFmtId="180" fontId="4" fillId="4" borderId="0" xfId="0" applyNumberFormat="1" applyFont="1" applyFill="1">
      <alignment vertical="center"/>
    </xf>
    <xf numFmtId="0" fontId="0" fillId="4" borderId="0" xfId="0" applyFill="1">
      <alignment vertical="center"/>
    </xf>
    <xf numFmtId="0" fontId="5" fillId="7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2:P56"/>
  <sheetViews>
    <sheetView tabSelected="1" topLeftCell="B1" workbookViewId="0">
      <selection activeCell="N49" sqref="N49"/>
    </sheetView>
  </sheetViews>
  <sheetFormatPr defaultColWidth="8.72727272727273" defaultRowHeight="14.5"/>
  <cols>
    <col min="12" max="12" width="16.5454545454545"/>
    <col min="13" max="13" width="10"/>
    <col min="14" max="14" width="23.4545454545455" customWidth="1"/>
  </cols>
  <sheetData>
    <row r="2" spans="7:11">
      <c r="G2" s="1" t="s">
        <v>0</v>
      </c>
      <c r="H2" s="2"/>
      <c r="I2" s="2"/>
      <c r="J2" s="2"/>
      <c r="K2" s="2"/>
    </row>
    <row r="3" spans="7:11">
      <c r="G3" s="2"/>
      <c r="H3" s="2"/>
      <c r="I3" s="2"/>
      <c r="J3" s="2"/>
      <c r="K3" s="2"/>
    </row>
    <row r="5" spans="6:13">
      <c r="F5" s="3" t="s">
        <v>1</v>
      </c>
      <c r="G5" s="3" t="s">
        <v>2</v>
      </c>
      <c r="H5" s="3" t="s">
        <v>3</v>
      </c>
      <c r="I5" s="3" t="s">
        <v>4</v>
      </c>
      <c r="J5" s="11" t="s">
        <v>5</v>
      </c>
      <c r="K5" s="11" t="s">
        <v>6</v>
      </c>
      <c r="L5" s="3" t="s">
        <v>7</v>
      </c>
      <c r="M5" s="12" t="s">
        <v>8</v>
      </c>
    </row>
    <row r="6" spans="6:13">
      <c r="F6" s="4">
        <v>1</v>
      </c>
      <c r="G6" s="4" t="s">
        <v>9</v>
      </c>
      <c r="H6" s="4" t="s">
        <v>10</v>
      </c>
      <c r="I6" s="4" t="s">
        <v>11</v>
      </c>
      <c r="J6" s="13">
        <v>95</v>
      </c>
      <c r="K6" s="13">
        <v>1.99</v>
      </c>
      <c r="L6" s="14">
        <f ca="1">TODAY()</f>
        <v>46016</v>
      </c>
      <c r="M6" s="15">
        <f>PRODUCT(J6,K6)</f>
        <v>189.05</v>
      </c>
    </row>
    <row r="7" spans="6:13">
      <c r="F7" s="4">
        <v>2</v>
      </c>
      <c r="G7" s="4" t="s">
        <v>12</v>
      </c>
      <c r="H7" s="4" t="s">
        <v>13</v>
      </c>
      <c r="I7" s="4" t="s">
        <v>14</v>
      </c>
      <c r="J7" s="13">
        <v>50</v>
      </c>
      <c r="K7" s="13">
        <v>19.99</v>
      </c>
      <c r="L7" s="16">
        <f ca="1">NOW()</f>
        <v>46016.7565393519</v>
      </c>
      <c r="M7" s="15">
        <f>PRODUCT(J7,K7)</f>
        <v>999.5</v>
      </c>
    </row>
    <row r="8" spans="6:13">
      <c r="F8" s="4">
        <v>3</v>
      </c>
      <c r="G8" s="4" t="s">
        <v>12</v>
      </c>
      <c r="H8" s="4" t="s">
        <v>15</v>
      </c>
      <c r="I8" s="4" t="s">
        <v>11</v>
      </c>
      <c r="J8" s="13">
        <v>36</v>
      </c>
      <c r="K8" s="13">
        <v>4.99</v>
      </c>
      <c r="L8">
        <f>YEAR(20)</f>
        <v>1900</v>
      </c>
      <c r="M8" s="15">
        <f>PRODUCT(J8,K9)</f>
        <v>719.64</v>
      </c>
    </row>
    <row r="9" spans="6:13">
      <c r="F9" s="4">
        <v>4</v>
      </c>
      <c r="G9" s="4" t="s">
        <v>12</v>
      </c>
      <c r="H9" s="4" t="s">
        <v>16</v>
      </c>
      <c r="I9" s="4" t="s">
        <v>17</v>
      </c>
      <c r="J9" s="13">
        <v>27</v>
      </c>
      <c r="K9" s="13">
        <v>19.99</v>
      </c>
      <c r="L9">
        <f>MONTH(6)</f>
        <v>1</v>
      </c>
      <c r="M9" s="15">
        <f>PRODUCT(J9,K9)</f>
        <v>539.73</v>
      </c>
    </row>
    <row r="10" spans="6:13">
      <c r="F10" s="4">
        <v>5</v>
      </c>
      <c r="G10" s="4" t="s">
        <v>18</v>
      </c>
      <c r="H10" s="4" t="s">
        <v>19</v>
      </c>
      <c r="I10" s="4" t="s">
        <v>20</v>
      </c>
      <c r="J10" s="13">
        <v>56</v>
      </c>
      <c r="K10" s="13">
        <v>2.99</v>
      </c>
      <c r="L10">
        <f>MONTH(12)</f>
        <v>1</v>
      </c>
      <c r="M10" s="15">
        <f>PRODUCT(J10,K10)</f>
        <v>167.44</v>
      </c>
    </row>
    <row r="11" spans="6:13">
      <c r="F11" s="4">
        <v>6</v>
      </c>
      <c r="G11" s="4" t="s">
        <v>12</v>
      </c>
      <c r="H11" s="4" t="s">
        <v>10</v>
      </c>
      <c r="I11" s="4" t="s">
        <v>14</v>
      </c>
      <c r="J11" s="13">
        <v>60</v>
      </c>
      <c r="K11" s="13">
        <v>4.99</v>
      </c>
      <c r="L11" t="e" cm="1">
        <f t="array" ref="L11">DAY(G20Nam)</f>
        <v>#NAME?</v>
      </c>
      <c r="M11" s="15">
        <f>PRODUCT(J11,K11)</f>
        <v>299.4</v>
      </c>
    </row>
    <row r="12" spans="6:13">
      <c r="F12" s="4">
        <v>7</v>
      </c>
      <c r="G12" s="4" t="s">
        <v>12</v>
      </c>
      <c r="H12" s="4" t="s">
        <v>15</v>
      </c>
      <c r="I12" s="4" t="s">
        <v>11</v>
      </c>
      <c r="J12" s="13">
        <v>90</v>
      </c>
      <c r="K12" s="13">
        <v>4.99</v>
      </c>
      <c r="M12" s="15">
        <f>PRODUCT(J12,K12)</f>
        <v>449.1</v>
      </c>
    </row>
    <row r="13" spans="6:13">
      <c r="F13" s="4">
        <v>8</v>
      </c>
      <c r="G13" s="4" t="s">
        <v>18</v>
      </c>
      <c r="H13" s="4" t="s">
        <v>21</v>
      </c>
      <c r="I13" s="4" t="s">
        <v>11</v>
      </c>
      <c r="J13" s="13">
        <v>32</v>
      </c>
      <c r="K13" s="13">
        <v>1.99</v>
      </c>
      <c r="M13" s="15">
        <f>PRODUCT(J13,K13)</f>
        <v>63.68</v>
      </c>
    </row>
    <row r="14" spans="6:13">
      <c r="F14" s="4">
        <v>9</v>
      </c>
      <c r="G14" s="4" t="s">
        <v>9</v>
      </c>
      <c r="H14" s="4" t="s">
        <v>10</v>
      </c>
      <c r="I14" s="4" t="s">
        <v>14</v>
      </c>
      <c r="J14" s="13">
        <v>60</v>
      </c>
      <c r="K14" s="13">
        <v>8.99</v>
      </c>
      <c r="M14" s="15">
        <f>PRODUCT(J14,K14)</f>
        <v>539.4</v>
      </c>
    </row>
    <row r="15" spans="6:13">
      <c r="F15" s="4">
        <v>10</v>
      </c>
      <c r="G15" s="4" t="s">
        <v>12</v>
      </c>
      <c r="H15" s="4" t="s">
        <v>22</v>
      </c>
      <c r="I15" s="4" t="s">
        <v>11</v>
      </c>
      <c r="J15" s="13">
        <v>80</v>
      </c>
      <c r="K15" s="13">
        <v>4.99</v>
      </c>
      <c r="M15" s="15">
        <f>PRODUCT(J15,K15)</f>
        <v>399.2</v>
      </c>
    </row>
    <row r="16" spans="6:13">
      <c r="F16" s="5" t="s">
        <v>8</v>
      </c>
      <c r="G16" s="6"/>
      <c r="H16" s="6"/>
      <c r="I16" s="6"/>
      <c r="J16" s="17">
        <f>SUM(J5:J15)</f>
        <v>586</v>
      </c>
      <c r="K16" s="17">
        <f>SUM(K5:K15)</f>
        <v>75.9</v>
      </c>
      <c r="L16" s="18"/>
      <c r="M16" s="17">
        <f>SUM(M5:M15)</f>
        <v>4366.14</v>
      </c>
    </row>
    <row r="20" spans="8:10">
      <c r="H20" s="7" t="s">
        <v>23</v>
      </c>
      <c r="I20" s="7" t="s">
        <v>24</v>
      </c>
      <c r="J20" s="7" t="s">
        <v>25</v>
      </c>
    </row>
    <row r="21" spans="8:10">
      <c r="H21" t="s">
        <v>26</v>
      </c>
      <c r="I21">
        <v>32</v>
      </c>
      <c r="J21" t="s">
        <v>27</v>
      </c>
    </row>
    <row r="22" spans="8:10">
      <c r="H22" t="s">
        <v>28</v>
      </c>
      <c r="I22">
        <v>56</v>
      </c>
      <c r="J22" t="s">
        <v>29</v>
      </c>
    </row>
    <row r="23" spans="8:10">
      <c r="H23" t="s">
        <v>30</v>
      </c>
      <c r="I23">
        <v>67</v>
      </c>
      <c r="J23" t="s">
        <v>31</v>
      </c>
    </row>
    <row r="24" spans="8:10">
      <c r="H24" t="s">
        <v>32</v>
      </c>
      <c r="I24">
        <v>20</v>
      </c>
      <c r="J24" t="s">
        <v>33</v>
      </c>
    </row>
    <row r="25" spans="8:10">
      <c r="H25" t="s">
        <v>34</v>
      </c>
      <c r="I25">
        <v>21</v>
      </c>
      <c r="J25" t="s">
        <v>31</v>
      </c>
    </row>
    <row r="26" spans="8:10">
      <c r="H26" t="s">
        <v>35</v>
      </c>
      <c r="I26">
        <v>88</v>
      </c>
      <c r="J26" t="s">
        <v>36</v>
      </c>
    </row>
    <row r="27" spans="8:10">
      <c r="H27" t="s">
        <v>37</v>
      </c>
      <c r="I27">
        <v>57</v>
      </c>
      <c r="J27" t="s">
        <v>31</v>
      </c>
    </row>
    <row r="30" spans="5:9">
      <c r="E30" s="8" t="s">
        <v>38</v>
      </c>
      <c r="F30" s="9"/>
      <c r="G30" s="8" t="s">
        <v>39</v>
      </c>
      <c r="H30" s="8" t="s">
        <v>40</v>
      </c>
      <c r="I30" s="8" t="s">
        <v>41</v>
      </c>
    </row>
    <row r="31" spans="5:10">
      <c r="E31" s="4" t="s">
        <v>26</v>
      </c>
      <c r="F31" s="4"/>
      <c r="G31">
        <v>20000</v>
      </c>
      <c r="H31">
        <f>PRODUCT(G31,0.1)</f>
        <v>2000</v>
      </c>
      <c r="I31" t="str">
        <f>IF(H31&gt;=2000,"A","B")</f>
        <v>A</v>
      </c>
      <c r="J31">
        <f>IF(H31&gt;2000,H31*10,H31*20)</f>
        <v>40000</v>
      </c>
    </row>
    <row r="32" spans="5:10">
      <c r="E32" s="4" t="s">
        <v>28</v>
      </c>
      <c r="F32" s="4"/>
      <c r="G32">
        <v>33000</v>
      </c>
      <c r="H32">
        <f>PRODUCT(G32,0.1)</f>
        <v>3300</v>
      </c>
      <c r="I32" t="str">
        <f t="shared" ref="I32:I37" si="0">IF(H32&gt;=2000,"A","B")</f>
        <v>A</v>
      </c>
      <c r="J32">
        <f t="shared" ref="J32:J37" si="1">IF(H32&gt;2000,H32*10,H32*20)</f>
        <v>33000</v>
      </c>
    </row>
    <row r="33" spans="5:10">
      <c r="E33" s="4" t="s">
        <v>30</v>
      </c>
      <c r="F33" s="4"/>
      <c r="G33">
        <v>4000</v>
      </c>
      <c r="H33">
        <f>PRODUCT(G33,0.1)</f>
        <v>400</v>
      </c>
      <c r="I33" t="str">
        <f t="shared" si="0"/>
        <v>B</v>
      </c>
      <c r="J33">
        <f t="shared" si="1"/>
        <v>8000</v>
      </c>
    </row>
    <row r="34" spans="5:10">
      <c r="E34" s="4" t="s">
        <v>32</v>
      </c>
      <c r="F34" s="4"/>
      <c r="G34">
        <v>34440</v>
      </c>
      <c r="H34">
        <f>PRODUCT(G34,0.1)</f>
        <v>3444</v>
      </c>
      <c r="I34" t="str">
        <f t="shared" si="0"/>
        <v>A</v>
      </c>
      <c r="J34">
        <f t="shared" si="1"/>
        <v>34440</v>
      </c>
    </row>
    <row r="35" spans="5:10">
      <c r="E35" s="4" t="s">
        <v>34</v>
      </c>
      <c r="F35" s="4"/>
      <c r="G35">
        <v>10000</v>
      </c>
      <c r="H35">
        <f>PRODUCT(G35,0.1)</f>
        <v>1000</v>
      </c>
      <c r="I35" t="str">
        <f t="shared" si="0"/>
        <v>B</v>
      </c>
      <c r="J35">
        <f t="shared" si="1"/>
        <v>20000</v>
      </c>
    </row>
    <row r="36" spans="5:10">
      <c r="E36" s="4" t="s">
        <v>35</v>
      </c>
      <c r="F36" s="4"/>
      <c r="G36">
        <v>33000</v>
      </c>
      <c r="H36">
        <f>PRODUCT(G36,0.1)</f>
        <v>3300</v>
      </c>
      <c r="I36" t="str">
        <f t="shared" si="0"/>
        <v>A</v>
      </c>
      <c r="J36">
        <f t="shared" si="1"/>
        <v>33000</v>
      </c>
    </row>
    <row r="37" spans="5:10">
      <c r="E37" s="4" t="s">
        <v>37</v>
      </c>
      <c r="F37" s="4"/>
      <c r="G37">
        <v>32111</v>
      </c>
      <c r="H37">
        <f>PRODUCT(G37,0.1)</f>
        <v>3211.1</v>
      </c>
      <c r="I37" t="str">
        <f t="shared" si="0"/>
        <v>A</v>
      </c>
      <c r="J37">
        <f t="shared" si="1"/>
        <v>32111</v>
      </c>
    </row>
    <row r="38" spans="5:6">
      <c r="E38" s="4"/>
      <c r="F38" s="4"/>
    </row>
    <row r="39" spans="5:16">
      <c r="E39" s="10"/>
      <c r="F39" s="10"/>
      <c r="G39" s="10"/>
      <c r="H39" s="10" t="s">
        <v>42</v>
      </c>
      <c r="I39" s="10"/>
      <c r="J39" s="10"/>
      <c r="K39" s="10"/>
      <c r="L39" s="10"/>
      <c r="M39" s="10"/>
      <c r="N39" s="10"/>
      <c r="O39" s="19" t="s">
        <v>43</v>
      </c>
      <c r="P39" s="20"/>
    </row>
    <row r="40" spans="5:16">
      <c r="E40" s="4"/>
      <c r="F40" s="4"/>
      <c r="H40" t="s">
        <v>44</v>
      </c>
      <c r="O40" s="20"/>
      <c r="P40" s="20"/>
    </row>
    <row r="43" spans="9:12">
      <c r="I43" s="19" t="s">
        <v>45</v>
      </c>
      <c r="J43" s="21"/>
      <c r="K43" s="21"/>
      <c r="L43" s="21"/>
    </row>
    <row r="44" spans="9:12">
      <c r="I44" s="21"/>
      <c r="J44" s="21"/>
      <c r="K44" s="21"/>
      <c r="L44" s="21"/>
    </row>
    <row r="46" spans="9:12">
      <c r="I46" s="7" t="s">
        <v>46</v>
      </c>
      <c r="J46" s="7" t="s">
        <v>47</v>
      </c>
      <c r="K46" s="7" t="s">
        <v>48</v>
      </c>
      <c r="L46" s="7" t="s">
        <v>8</v>
      </c>
    </row>
    <row r="47" spans="9:13">
      <c r="I47" t="s">
        <v>49</v>
      </c>
      <c r="J47">
        <v>500</v>
      </c>
      <c r="K47">
        <v>50</v>
      </c>
      <c r="L47" s="4">
        <f>PRODUCT(J47,K47)</f>
        <v>25000</v>
      </c>
      <c r="M47" t="str">
        <f>IF(J47&lt;20,"Low price",IF(AND(J47&gt;100,J47&lt;200),"Medium Price","High price"))</f>
        <v>High price</v>
      </c>
    </row>
    <row r="48" spans="9:13">
      <c r="I48" t="s">
        <v>50</v>
      </c>
      <c r="J48">
        <v>110</v>
      </c>
      <c r="K48">
        <v>19</v>
      </c>
      <c r="L48" s="4">
        <f>PRODUCT(J48,K48)</f>
        <v>2090</v>
      </c>
      <c r="M48" t="str">
        <f>IF(J48&lt;20,"Low price",IF(AND(J48&gt;100,J48&lt;200),"Medium Price","High price"))</f>
        <v>Medium Price</v>
      </c>
    </row>
    <row r="49" spans="9:13">
      <c r="I49" t="s">
        <v>51</v>
      </c>
      <c r="J49">
        <v>20</v>
      </c>
      <c r="K49">
        <v>110</v>
      </c>
      <c r="L49" s="4">
        <f>PRODUCT(J49,K49)</f>
        <v>2200</v>
      </c>
      <c r="M49" t="str">
        <f>IF(J49&lt;20,"Low price",IF(AND(J49&gt;100,J49&lt;200),"Medium Price","High price"))</f>
        <v>High price</v>
      </c>
    </row>
    <row r="50" spans="9:13">
      <c r="I50" t="s">
        <v>52</v>
      </c>
      <c r="J50">
        <v>10</v>
      </c>
      <c r="K50">
        <v>400</v>
      </c>
      <c r="L50" s="4">
        <f>PRODUCT(J50,K50)</f>
        <v>4000</v>
      </c>
      <c r="M50" t="str">
        <f>IF(J50&lt;20,"Low price",IF(AND(J50&gt;100,J50&lt;200),"Medium Price","High price"))</f>
        <v>Low price</v>
      </c>
    </row>
    <row r="51" spans="9:13">
      <c r="I51" t="s">
        <v>53</v>
      </c>
      <c r="J51">
        <v>150</v>
      </c>
      <c r="K51">
        <v>6</v>
      </c>
      <c r="L51" s="4">
        <f>PRODUCT(J51,K51)</f>
        <v>900</v>
      </c>
      <c r="M51" t="str">
        <f>IF(J51&lt;20,"Low price",IF(AND(J51&gt;100,J51&lt;200),"Medium Price","High price"))</f>
        <v>Medium Price</v>
      </c>
    </row>
    <row r="52" spans="9:13">
      <c r="I52" t="s">
        <v>54</v>
      </c>
      <c r="J52">
        <v>100</v>
      </c>
      <c r="K52">
        <v>55</v>
      </c>
      <c r="L52" s="4">
        <f>PRODUCT(J52,K52)</f>
        <v>5500</v>
      </c>
      <c r="M52" t="str">
        <f>IF(J52&lt;20,"Low price",IF(AND(J52&gt;100,J52&lt;200),"Medium Price","High price"))</f>
        <v>High price</v>
      </c>
    </row>
    <row r="54" spans="9:9">
      <c r="I54" t="s">
        <v>55</v>
      </c>
    </row>
    <row r="55" spans="9:9">
      <c r="I55" t="s">
        <v>56</v>
      </c>
    </row>
    <row r="56" spans="9:9">
      <c r="I56" t="s">
        <v>57</v>
      </c>
    </row>
  </sheetData>
  <autoFilter xmlns:etc="http://www.wps.cn/officeDocument/2017/etCustomData" ref="H20:J27" etc:filterBottomFollowUsedRange="0">
    <extLst/>
  </autoFilter>
  <sortState ref="H21:I27">
    <sortCondition ref="H21"/>
  </sortState>
  <mergeCells count="12">
    <mergeCell ref="E31:F31"/>
    <mergeCell ref="E32:F32"/>
    <mergeCell ref="E33:F33"/>
    <mergeCell ref="E34:F34"/>
    <mergeCell ref="E35:F35"/>
    <mergeCell ref="E36:F36"/>
    <mergeCell ref="E37:F37"/>
    <mergeCell ref="E38:F38"/>
    <mergeCell ref="E40:F40"/>
    <mergeCell ref="G2:K3"/>
    <mergeCell ref="O39:P40"/>
    <mergeCell ref="I43:L4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KIIT</dc:creator>
  <cp:lastModifiedBy>HEM KUMAR PANDEY</cp:lastModifiedBy>
  <dcterms:created xsi:type="dcterms:W3CDTF">2025-12-25T05:37:13Z</dcterms:created>
  <dcterms:modified xsi:type="dcterms:W3CDTF">2025-12-25T12:49:35Z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30F6EE2B9845489B927A5ED0E5D0CE9D_11</vt:lpwstr>
  </property>
  <property fmtid="{D5CDD505-2E9C-101B-9397-08002B2CF9AE}" pid="3" name="KSOProductBuildVer">
    <vt:lpwstr>1033-12.2.0.23196</vt:lpwstr>
  </property>
</Properties>
</file>