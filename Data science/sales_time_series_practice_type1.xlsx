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ales_Data" sheetId="1" r:id="rId1"/>
  </sheets>
  <definedNames>
    <definedName name="solver_opt" localSheetId="0" hidden="1">Sales_Data!$G$209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num" localSheetId="0" hidden="1">0</definedName>
    <definedName name="solver_lin" localSheetId="0" hidden="1">0</definedName>
    <definedName name="solver_eng" localSheetId="0" hidden="1">1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<sst xmlns="http://schemas.openxmlformats.org/spreadsheetml/2006/main" count="219" uniqueCount="31">
  <si>
    <t xml:space="preserve">moving average method </t>
  </si>
  <si>
    <t xml:space="preserve">Naiive Forcasting method </t>
  </si>
  <si>
    <t xml:space="preserve"> formula:yt-3+(yt-yt-1)+(yt-1-yt-2)+(yt-2-yt-3))</t>
  </si>
  <si>
    <t>Year</t>
  </si>
  <si>
    <t>Month</t>
  </si>
  <si>
    <t>Sales</t>
  </si>
  <si>
    <t>predicted values</t>
  </si>
  <si>
    <t>RMSE</t>
  </si>
  <si>
    <t>MPE</t>
  </si>
  <si>
    <t xml:space="preserve">predicted values </t>
  </si>
  <si>
    <t>Jan</t>
  </si>
  <si>
    <t>yt-3</t>
  </si>
  <si>
    <t>Feb</t>
  </si>
  <si>
    <t>yt-2</t>
  </si>
  <si>
    <t>Mar</t>
  </si>
  <si>
    <t>yt-1</t>
  </si>
  <si>
    <t>Apr</t>
  </si>
  <si>
    <t>yt</t>
  </si>
  <si>
    <t>May</t>
  </si>
  <si>
    <t>yt+1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</si>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</sst>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20091498284407"/>
          <c:y val="0.0562682977001476"/>
          <c:w val="0.910256654899342"/>
          <c:h val="0.810048910626945"/>
        </c:manualLayout>
      </c:layout>
      <c:lineChart>
        <c:grouping val="standard"/>
        <c:varyColors val="0"/>
        <c:ser>
          <c:idx val="0"/>
          <c:order val="0"/>
          <c:tx>
            <c:strRef>
              <c:f>Sales_Data!$C$2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Sales_Data!$A$3:$B$206</c:f>
              <c:multiLvlStrCache>
                <c:ptCount val="20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  <c:pt idx="84">
                    <c:v>Jan</c:v>
                  </c:pt>
                  <c:pt idx="85">
                    <c:v>Feb</c:v>
                  </c:pt>
                  <c:pt idx="86">
                    <c:v>Mar</c:v>
                  </c:pt>
                  <c:pt idx="87">
                    <c:v>Apr</c:v>
                  </c:pt>
                  <c:pt idx="88">
                    <c:v>May</c:v>
                  </c:pt>
                  <c:pt idx="89">
                    <c:v>Jun</c:v>
                  </c:pt>
                  <c:pt idx="90">
                    <c:v>Jul</c:v>
                  </c:pt>
                  <c:pt idx="91">
                    <c:v>Aug</c:v>
                  </c:pt>
                  <c:pt idx="92">
                    <c:v>Sep</c:v>
                  </c:pt>
                  <c:pt idx="93">
                    <c:v>Oct</c:v>
                  </c:pt>
                  <c:pt idx="94">
                    <c:v>Nov</c:v>
                  </c:pt>
                  <c:pt idx="95">
                    <c:v>Dec</c:v>
                  </c:pt>
                  <c:pt idx="96">
                    <c:v>Jan</c:v>
                  </c:pt>
                  <c:pt idx="97">
                    <c:v>Feb</c:v>
                  </c:pt>
                  <c:pt idx="98">
                    <c:v>Mar</c:v>
                  </c:pt>
                  <c:pt idx="99">
                    <c:v>Apr</c:v>
                  </c:pt>
                  <c:pt idx="100">
                    <c:v>May</c:v>
                  </c:pt>
                  <c:pt idx="101">
                    <c:v>Jun</c:v>
                  </c:pt>
                  <c:pt idx="102">
                    <c:v>Jul</c:v>
                  </c:pt>
                  <c:pt idx="103">
                    <c:v>Aug</c:v>
                  </c:pt>
                  <c:pt idx="104">
                    <c:v>Sep</c:v>
                  </c:pt>
                  <c:pt idx="105">
                    <c:v>Oct</c:v>
                  </c:pt>
                  <c:pt idx="106">
                    <c:v>Nov</c:v>
                  </c:pt>
                  <c:pt idx="107">
                    <c:v>Dec</c:v>
                  </c:pt>
                  <c:pt idx="108">
                    <c:v>Jan</c:v>
                  </c:pt>
                  <c:pt idx="109">
                    <c:v>Feb</c:v>
                  </c:pt>
                  <c:pt idx="110">
                    <c:v>Mar</c:v>
                  </c:pt>
                  <c:pt idx="111">
                    <c:v>Apr</c:v>
                  </c:pt>
                  <c:pt idx="112">
                    <c:v>May</c:v>
                  </c:pt>
                  <c:pt idx="113">
                    <c:v>Jun</c:v>
                  </c:pt>
                  <c:pt idx="114">
                    <c:v>Jul</c:v>
                  </c:pt>
                  <c:pt idx="115">
                    <c:v>Aug</c:v>
                  </c:pt>
                  <c:pt idx="116">
                    <c:v>Sep</c:v>
                  </c:pt>
                  <c:pt idx="117">
                    <c:v>Oct</c:v>
                  </c:pt>
                  <c:pt idx="118">
                    <c:v>Nov</c:v>
                  </c:pt>
                  <c:pt idx="119">
                    <c:v>Dec</c:v>
                  </c:pt>
                  <c:pt idx="120">
                    <c:v>Jan</c:v>
                  </c:pt>
                  <c:pt idx="121">
                    <c:v>Feb</c:v>
                  </c:pt>
                  <c:pt idx="122">
                    <c:v>Mar</c:v>
                  </c:pt>
                  <c:pt idx="123">
                    <c:v>Apr</c:v>
                  </c:pt>
                  <c:pt idx="124">
                    <c:v>May</c:v>
                  </c:pt>
                  <c:pt idx="125">
                    <c:v>Jun</c:v>
                  </c:pt>
                  <c:pt idx="126">
                    <c:v>Jul</c:v>
                  </c:pt>
                  <c:pt idx="127">
                    <c:v>Aug</c:v>
                  </c:pt>
                  <c:pt idx="128">
                    <c:v>Sep</c:v>
                  </c:pt>
                  <c:pt idx="129">
                    <c:v>Oct</c:v>
                  </c:pt>
                  <c:pt idx="130">
                    <c:v>Nov</c:v>
                  </c:pt>
                  <c:pt idx="131">
                    <c:v>Dec</c:v>
                  </c:pt>
                  <c:pt idx="132">
                    <c:v>Jan</c:v>
                  </c:pt>
                  <c:pt idx="133">
                    <c:v>Feb</c:v>
                  </c:pt>
                  <c:pt idx="134">
                    <c:v>Mar</c:v>
                  </c:pt>
                  <c:pt idx="135">
                    <c:v>Apr</c:v>
                  </c:pt>
                  <c:pt idx="136">
                    <c:v>May</c:v>
                  </c:pt>
                  <c:pt idx="137">
                    <c:v>Jun</c:v>
                  </c:pt>
                  <c:pt idx="138">
                    <c:v>Jul</c:v>
                  </c:pt>
                  <c:pt idx="139">
                    <c:v>Aug</c:v>
                  </c:pt>
                  <c:pt idx="140">
                    <c:v>Sep</c:v>
                  </c:pt>
                  <c:pt idx="141">
                    <c:v>Oct</c:v>
                  </c:pt>
                  <c:pt idx="142">
                    <c:v>Nov</c:v>
                  </c:pt>
                  <c:pt idx="143">
                    <c:v>Dec</c:v>
                  </c:pt>
                  <c:pt idx="144">
                    <c:v>Jan</c:v>
                  </c:pt>
                  <c:pt idx="145">
                    <c:v>Feb</c:v>
                  </c:pt>
                  <c:pt idx="146">
                    <c:v>Mar</c:v>
                  </c:pt>
                  <c:pt idx="147">
                    <c:v>Apr</c:v>
                  </c:pt>
                  <c:pt idx="148">
                    <c:v>May</c:v>
                  </c:pt>
                  <c:pt idx="149">
                    <c:v>Jun</c:v>
                  </c:pt>
                  <c:pt idx="150">
                    <c:v>Jul</c:v>
                  </c:pt>
                  <c:pt idx="151">
                    <c:v>Aug</c:v>
                  </c:pt>
                  <c:pt idx="152">
                    <c:v>Sep</c:v>
                  </c:pt>
                  <c:pt idx="153">
                    <c:v>Oct</c:v>
                  </c:pt>
                  <c:pt idx="154">
                    <c:v>Nov</c:v>
                  </c:pt>
                  <c:pt idx="155">
                    <c:v>Dec</c:v>
                  </c:pt>
                  <c:pt idx="156">
                    <c:v>Jan</c:v>
                  </c:pt>
                  <c:pt idx="157">
                    <c:v>Feb</c:v>
                  </c:pt>
                  <c:pt idx="158">
                    <c:v>Mar</c:v>
                  </c:pt>
                  <c:pt idx="159">
                    <c:v>Apr</c:v>
                  </c:pt>
                  <c:pt idx="160">
                    <c:v>May</c:v>
                  </c:pt>
                  <c:pt idx="161">
                    <c:v>Jun</c:v>
                  </c:pt>
                  <c:pt idx="162">
                    <c:v>Jul</c:v>
                  </c:pt>
                  <c:pt idx="163">
                    <c:v>Aug</c:v>
                  </c:pt>
                  <c:pt idx="164">
                    <c:v>Sep</c:v>
                  </c:pt>
                  <c:pt idx="165">
                    <c:v>Oct</c:v>
                  </c:pt>
                  <c:pt idx="166">
                    <c:v>Nov</c:v>
                  </c:pt>
                  <c:pt idx="167">
                    <c:v>Dec</c:v>
                  </c:pt>
                  <c:pt idx="168">
                    <c:v>Jan</c:v>
                  </c:pt>
                  <c:pt idx="169">
                    <c:v>Feb</c:v>
                  </c:pt>
                  <c:pt idx="170">
                    <c:v>Mar</c:v>
                  </c:pt>
                  <c:pt idx="171">
                    <c:v>Apr</c:v>
                  </c:pt>
                  <c:pt idx="172">
                    <c:v>May</c:v>
                  </c:pt>
                  <c:pt idx="173">
                    <c:v>Jun</c:v>
                  </c:pt>
                  <c:pt idx="174">
                    <c:v>Jul</c:v>
                  </c:pt>
                  <c:pt idx="175">
                    <c:v>Aug</c:v>
                  </c:pt>
                  <c:pt idx="176">
                    <c:v>Sep</c:v>
                  </c:pt>
                  <c:pt idx="177">
                    <c:v>Oct</c:v>
                  </c:pt>
                  <c:pt idx="178">
                    <c:v>Nov</c:v>
                  </c:pt>
                  <c:pt idx="179">
                    <c:v>Dec</c:v>
                  </c:pt>
                  <c:pt idx="180">
                    <c:v>Jan</c:v>
                  </c:pt>
                  <c:pt idx="181">
                    <c:v>Feb</c:v>
                  </c:pt>
                  <c:pt idx="182">
                    <c:v>Mar</c:v>
                  </c:pt>
                  <c:pt idx="183">
                    <c:v>Apr</c:v>
                  </c:pt>
                  <c:pt idx="184">
                    <c:v>May</c:v>
                  </c:pt>
                  <c:pt idx="185">
                    <c:v>Jun</c:v>
                  </c:pt>
                  <c:pt idx="186">
                    <c:v>Jul</c:v>
                  </c:pt>
                  <c:pt idx="187">
                    <c:v>Aug</c:v>
                  </c:pt>
                  <c:pt idx="188">
                    <c:v>Sep</c:v>
                  </c:pt>
                  <c:pt idx="189">
                    <c:v>Oct</c:v>
                  </c:pt>
                  <c:pt idx="190">
                    <c:v>Nov</c:v>
                  </c:pt>
                  <c:pt idx="191">
                    <c:v>Dec</c:v>
                  </c:pt>
                  <c:pt idx="192">
                    <c:v>Jan</c:v>
                  </c:pt>
                  <c:pt idx="193">
                    <c:v>Feb</c:v>
                  </c:pt>
                  <c:pt idx="194">
                    <c:v>Mar</c:v>
                  </c:pt>
                  <c:pt idx="195">
                    <c:v>Apr</c:v>
                  </c:pt>
                  <c:pt idx="196">
                    <c:v>May</c:v>
                  </c:pt>
                  <c:pt idx="197">
                    <c:v>Jun</c:v>
                  </c:pt>
                  <c:pt idx="198">
                    <c:v>Jul</c:v>
                  </c:pt>
                  <c:pt idx="199">
                    <c:v>Aug</c:v>
                  </c:pt>
                  <c:pt idx="200">
                    <c:v>jan</c:v>
                  </c:pt>
                  <c:pt idx="201">
                    <c:v>feb</c:v>
                  </c:pt>
                  <c:pt idx="202">
                    <c:v>march</c:v>
                  </c:pt>
                  <c:pt idx="203">
                    <c:v>april</c:v>
                  </c:pt>
                </c:lvl>
                <c:lvl>
                  <c:pt idx="0">
                    <c:v>2010</c:v>
                  </c:pt>
                  <c:pt idx="1">
                    <c:v>2010</c:v>
                  </c:pt>
                  <c:pt idx="2">
                    <c:v>2010</c:v>
                  </c:pt>
                  <c:pt idx="3">
                    <c:v>2010</c:v>
                  </c:pt>
                  <c:pt idx="4">
                    <c:v>2010</c:v>
                  </c:pt>
                  <c:pt idx="5">
                    <c:v>2010</c:v>
                  </c:pt>
                  <c:pt idx="6">
                    <c:v>2010</c:v>
                  </c:pt>
                  <c:pt idx="7">
                    <c:v>2010</c:v>
                  </c:pt>
                  <c:pt idx="8">
                    <c:v>2010</c:v>
                  </c:pt>
                  <c:pt idx="9">
                    <c:v>2010</c:v>
                  </c:pt>
                  <c:pt idx="10">
                    <c:v>2010</c:v>
                  </c:pt>
                  <c:pt idx="11">
                    <c:v>2010</c:v>
                  </c:pt>
                  <c:pt idx="12">
                    <c:v>2011</c:v>
                  </c:pt>
                  <c:pt idx="13">
                    <c:v>2011</c:v>
                  </c:pt>
                  <c:pt idx="14">
                    <c:v>2011</c:v>
                  </c:pt>
                  <c:pt idx="15">
                    <c:v>2011</c:v>
                  </c:pt>
                  <c:pt idx="16">
                    <c:v>2011</c:v>
                  </c:pt>
                  <c:pt idx="17">
                    <c:v>2011</c:v>
                  </c:pt>
                  <c:pt idx="18">
                    <c:v>2011</c:v>
                  </c:pt>
                  <c:pt idx="19">
                    <c:v>2011</c:v>
                  </c:pt>
                  <c:pt idx="20">
                    <c:v>2011</c:v>
                  </c:pt>
                  <c:pt idx="21">
                    <c:v>2011</c:v>
                  </c:pt>
                  <c:pt idx="22">
                    <c:v>2011</c:v>
                  </c:pt>
                  <c:pt idx="23">
                    <c:v>2011</c:v>
                  </c:pt>
                  <c:pt idx="24">
                    <c:v>2012</c:v>
                  </c:pt>
                  <c:pt idx="25">
                    <c:v>2012</c:v>
                  </c:pt>
                  <c:pt idx="26">
                    <c:v>2012</c:v>
                  </c:pt>
                  <c:pt idx="27">
                    <c:v>2012</c:v>
                  </c:pt>
                  <c:pt idx="28">
                    <c:v>2012</c:v>
                  </c:pt>
                  <c:pt idx="29">
                    <c:v>2012</c:v>
                  </c:pt>
                  <c:pt idx="30">
                    <c:v>2012</c:v>
                  </c:pt>
                  <c:pt idx="31">
                    <c:v>2012</c:v>
                  </c:pt>
                  <c:pt idx="32">
                    <c:v>2012</c:v>
                  </c:pt>
                  <c:pt idx="33">
                    <c:v>2012</c:v>
                  </c:pt>
                  <c:pt idx="34">
                    <c:v>2012</c:v>
                  </c:pt>
                  <c:pt idx="35">
                    <c:v>2012</c:v>
                  </c:pt>
                  <c:pt idx="36">
                    <c:v>2013</c:v>
                  </c:pt>
                  <c:pt idx="37">
                    <c:v>2013</c:v>
                  </c:pt>
                  <c:pt idx="38">
                    <c:v>2013</c:v>
                  </c:pt>
                  <c:pt idx="39">
                    <c:v>2013</c:v>
                  </c:pt>
                  <c:pt idx="40">
                    <c:v>2013</c:v>
                  </c:pt>
                  <c:pt idx="41">
                    <c:v>2013</c:v>
                  </c:pt>
                  <c:pt idx="42">
                    <c:v>2013</c:v>
                  </c:pt>
                  <c:pt idx="43">
                    <c:v>2013</c:v>
                  </c:pt>
                  <c:pt idx="44">
                    <c:v>2013</c:v>
                  </c:pt>
                  <c:pt idx="45">
                    <c:v>2013</c:v>
                  </c:pt>
                  <c:pt idx="46">
                    <c:v>2013</c:v>
                  </c:pt>
                  <c:pt idx="47">
                    <c:v>2013</c:v>
                  </c:pt>
                  <c:pt idx="48">
                    <c:v>2014</c:v>
                  </c:pt>
                  <c:pt idx="49">
                    <c:v>2014</c:v>
                  </c:pt>
                  <c:pt idx="50">
                    <c:v>2014</c:v>
                  </c:pt>
                  <c:pt idx="51">
                    <c:v>2014</c:v>
                  </c:pt>
                  <c:pt idx="52">
                    <c:v>2014</c:v>
                  </c:pt>
                  <c:pt idx="53">
                    <c:v>2014</c:v>
                  </c:pt>
                  <c:pt idx="54">
                    <c:v>2014</c:v>
                  </c:pt>
                  <c:pt idx="55">
                    <c:v>2014</c:v>
                  </c:pt>
                  <c:pt idx="56">
                    <c:v>2014</c:v>
                  </c:pt>
                  <c:pt idx="57">
                    <c:v>2014</c:v>
                  </c:pt>
                  <c:pt idx="58">
                    <c:v>2014</c:v>
                  </c:pt>
                  <c:pt idx="59">
                    <c:v>2014</c:v>
                  </c:pt>
                  <c:pt idx="60">
                    <c:v>2015</c:v>
                  </c:pt>
                  <c:pt idx="61">
                    <c:v>2015</c:v>
                  </c:pt>
                  <c:pt idx="62">
                    <c:v>2015</c:v>
                  </c:pt>
                  <c:pt idx="63">
                    <c:v>2015</c:v>
                  </c:pt>
                  <c:pt idx="64">
                    <c:v>2015</c:v>
                  </c:pt>
                  <c:pt idx="65">
                    <c:v>2015</c:v>
                  </c:pt>
                  <c:pt idx="66">
                    <c:v>2015</c:v>
                  </c:pt>
                  <c:pt idx="67">
                    <c:v>2015</c:v>
                  </c:pt>
                  <c:pt idx="68">
                    <c:v>2015</c:v>
                  </c:pt>
                  <c:pt idx="69">
                    <c:v>2015</c:v>
                  </c:pt>
                  <c:pt idx="70">
                    <c:v>2015</c:v>
                  </c:pt>
                  <c:pt idx="71">
                    <c:v>2015</c:v>
                  </c:pt>
                  <c:pt idx="72">
                    <c:v>2016</c:v>
                  </c:pt>
                  <c:pt idx="73">
                    <c:v>2016</c:v>
                  </c:pt>
                  <c:pt idx="74">
                    <c:v>2016</c:v>
                  </c:pt>
                  <c:pt idx="75">
                    <c:v>2016</c:v>
                  </c:pt>
                  <c:pt idx="76">
                    <c:v>2016</c:v>
                  </c:pt>
                  <c:pt idx="77">
                    <c:v>2016</c:v>
                  </c:pt>
                  <c:pt idx="78">
                    <c:v>2016</c:v>
                  </c:pt>
                  <c:pt idx="79">
                    <c:v>2016</c:v>
                  </c:pt>
                  <c:pt idx="80">
                    <c:v>2016</c:v>
                  </c:pt>
                  <c:pt idx="81">
                    <c:v>2016</c:v>
                  </c:pt>
                  <c:pt idx="82">
                    <c:v>2016</c:v>
                  </c:pt>
                  <c:pt idx="83">
                    <c:v>2016</c:v>
                  </c:pt>
                  <c:pt idx="84">
                    <c:v>2017</c:v>
                  </c:pt>
                  <c:pt idx="85">
                    <c:v>2017</c:v>
                  </c:pt>
                  <c:pt idx="86">
                    <c:v>2017</c:v>
                  </c:pt>
                  <c:pt idx="87">
                    <c:v>2017</c:v>
                  </c:pt>
                  <c:pt idx="88">
                    <c:v>2017</c:v>
                  </c:pt>
                  <c:pt idx="89">
                    <c:v>2017</c:v>
                  </c:pt>
                  <c:pt idx="90">
                    <c:v>2017</c:v>
                  </c:pt>
                  <c:pt idx="91">
                    <c:v>2017</c:v>
                  </c:pt>
                  <c:pt idx="92">
                    <c:v>2017</c:v>
                  </c:pt>
                  <c:pt idx="93">
                    <c:v>2017</c:v>
                  </c:pt>
                  <c:pt idx="94">
                    <c:v>2017</c:v>
                  </c:pt>
                  <c:pt idx="95">
                    <c:v>2017</c:v>
                  </c:pt>
                  <c:pt idx="96">
                    <c:v>2018</c:v>
                  </c:pt>
                  <c:pt idx="97">
                    <c:v>2018</c:v>
                  </c:pt>
                  <c:pt idx="98">
                    <c:v>2018</c:v>
                  </c:pt>
                  <c:pt idx="99">
                    <c:v>2018</c:v>
                  </c:pt>
                  <c:pt idx="100">
                    <c:v>2018</c:v>
                  </c:pt>
                  <c:pt idx="101">
                    <c:v>2018</c:v>
                  </c:pt>
                  <c:pt idx="102">
                    <c:v>2018</c:v>
                  </c:pt>
                  <c:pt idx="103">
                    <c:v>2018</c:v>
                  </c:pt>
                  <c:pt idx="104">
                    <c:v>2018</c:v>
                  </c:pt>
                  <c:pt idx="105">
                    <c:v>2018</c:v>
                  </c:pt>
                  <c:pt idx="106">
                    <c:v>2018</c:v>
                  </c:pt>
                  <c:pt idx="107">
                    <c:v>2018</c:v>
                  </c:pt>
                  <c:pt idx="108">
                    <c:v>2019</c:v>
                  </c:pt>
                  <c:pt idx="109">
                    <c:v>2019</c:v>
                  </c:pt>
                  <c:pt idx="110">
                    <c:v>2019</c:v>
                  </c:pt>
                  <c:pt idx="111">
                    <c:v>2019</c:v>
                  </c:pt>
                  <c:pt idx="112">
                    <c:v>2019</c:v>
                  </c:pt>
                  <c:pt idx="113">
                    <c:v>2019</c:v>
                  </c:pt>
                  <c:pt idx="114">
                    <c:v>2019</c:v>
                  </c:pt>
                  <c:pt idx="115">
                    <c:v>2019</c:v>
                  </c:pt>
                  <c:pt idx="116">
                    <c:v>2019</c:v>
                  </c:pt>
                  <c:pt idx="117">
                    <c:v>2019</c:v>
                  </c:pt>
                  <c:pt idx="118">
                    <c:v>2019</c:v>
                  </c:pt>
                  <c:pt idx="119">
                    <c:v>2019</c:v>
                  </c:pt>
                  <c:pt idx="120">
                    <c:v>2020</c:v>
                  </c:pt>
                  <c:pt idx="121">
                    <c:v>2020</c:v>
                  </c:pt>
                  <c:pt idx="122">
                    <c:v>2020</c:v>
                  </c:pt>
                  <c:pt idx="123">
                    <c:v>2020</c:v>
                  </c:pt>
                  <c:pt idx="124">
                    <c:v>2020</c:v>
                  </c:pt>
                  <c:pt idx="125">
                    <c:v>2020</c:v>
                  </c:pt>
                  <c:pt idx="126">
                    <c:v>2020</c:v>
                  </c:pt>
                  <c:pt idx="127">
                    <c:v>2020</c:v>
                  </c:pt>
                  <c:pt idx="128">
                    <c:v>2020</c:v>
                  </c:pt>
                  <c:pt idx="129">
                    <c:v>2020</c:v>
                  </c:pt>
                  <c:pt idx="130">
                    <c:v>2020</c:v>
                  </c:pt>
                  <c:pt idx="131">
                    <c:v>2020</c:v>
                  </c:pt>
                  <c:pt idx="132">
                    <c:v>2021</c:v>
                  </c:pt>
                  <c:pt idx="133">
                    <c:v>2021</c:v>
                  </c:pt>
                  <c:pt idx="134">
                    <c:v>2021</c:v>
                  </c:pt>
                  <c:pt idx="135">
                    <c:v>2021</c:v>
                  </c:pt>
                  <c:pt idx="136">
                    <c:v>2021</c:v>
                  </c:pt>
                  <c:pt idx="137">
                    <c:v>2021</c:v>
                  </c:pt>
                  <c:pt idx="138">
                    <c:v>2021</c:v>
                  </c:pt>
                  <c:pt idx="139">
                    <c:v>2021</c:v>
                  </c:pt>
                  <c:pt idx="140">
                    <c:v>2021</c:v>
                  </c:pt>
                  <c:pt idx="141">
                    <c:v>2021</c:v>
                  </c:pt>
                  <c:pt idx="142">
                    <c:v>2021</c:v>
                  </c:pt>
                  <c:pt idx="143">
                    <c:v>2021</c:v>
                  </c:pt>
                  <c:pt idx="144">
                    <c:v>2022</c:v>
                  </c:pt>
                  <c:pt idx="145">
                    <c:v>2022</c:v>
                  </c:pt>
                  <c:pt idx="146">
                    <c:v>2022</c:v>
                  </c:pt>
                  <c:pt idx="147">
                    <c:v>2022</c:v>
                  </c:pt>
                  <c:pt idx="148">
                    <c:v>2022</c:v>
                  </c:pt>
                  <c:pt idx="149">
                    <c:v>2022</c:v>
                  </c:pt>
                  <c:pt idx="150">
                    <c:v>2022</c:v>
                  </c:pt>
                  <c:pt idx="151">
                    <c:v>2022</c:v>
                  </c:pt>
                  <c:pt idx="152">
                    <c:v>2022</c:v>
                  </c:pt>
                  <c:pt idx="153">
                    <c:v>2022</c:v>
                  </c:pt>
                  <c:pt idx="154">
                    <c:v>2022</c:v>
                  </c:pt>
                  <c:pt idx="155">
                    <c:v>2022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2024</c:v>
                  </c:pt>
                  <c:pt idx="169">
                    <c:v>2024</c:v>
                  </c:pt>
                  <c:pt idx="170">
                    <c:v>2024</c:v>
                  </c:pt>
                  <c:pt idx="171">
                    <c:v>2024</c:v>
                  </c:pt>
                  <c:pt idx="172">
                    <c:v>2024</c:v>
                  </c:pt>
                  <c:pt idx="173">
                    <c:v>2024</c:v>
                  </c:pt>
                  <c:pt idx="174">
                    <c:v>2024</c:v>
                  </c:pt>
                  <c:pt idx="175">
                    <c:v>2024</c:v>
                  </c:pt>
                  <c:pt idx="176">
                    <c:v>2024</c:v>
                  </c:pt>
                  <c:pt idx="177">
                    <c:v>2024</c:v>
                  </c:pt>
                  <c:pt idx="178">
                    <c:v>2024</c:v>
                  </c:pt>
                  <c:pt idx="179">
                    <c:v>2024</c:v>
                  </c:pt>
                  <c:pt idx="180">
                    <c:v>2025</c:v>
                  </c:pt>
                  <c:pt idx="181">
                    <c:v>2025</c:v>
                  </c:pt>
                  <c:pt idx="182">
                    <c:v>2025</c:v>
                  </c:pt>
                  <c:pt idx="183">
                    <c:v>2025</c:v>
                  </c:pt>
                  <c:pt idx="184">
                    <c:v>2025</c:v>
                  </c:pt>
                  <c:pt idx="185">
                    <c:v>2025</c:v>
                  </c:pt>
                  <c:pt idx="186">
                    <c:v>2025</c:v>
                  </c:pt>
                  <c:pt idx="187">
                    <c:v>2025</c:v>
                  </c:pt>
                  <c:pt idx="188">
                    <c:v>2025</c:v>
                  </c:pt>
                  <c:pt idx="189">
                    <c:v>2025</c:v>
                  </c:pt>
                  <c:pt idx="190">
                    <c:v>2025</c:v>
                  </c:pt>
                  <c:pt idx="191">
                    <c:v>2025</c:v>
                  </c:pt>
                  <c:pt idx="192">
                    <c:v>2026</c:v>
                  </c:pt>
                  <c:pt idx="193">
                    <c:v>2026</c:v>
                  </c:pt>
                  <c:pt idx="194">
                    <c:v>2026</c:v>
                  </c:pt>
                  <c:pt idx="195">
                    <c:v>2026</c:v>
                  </c:pt>
                  <c:pt idx="196">
                    <c:v>2026</c:v>
                  </c:pt>
                  <c:pt idx="197">
                    <c:v>2026</c:v>
                  </c:pt>
                  <c:pt idx="198">
                    <c:v>2026</c:v>
                  </c:pt>
                  <c:pt idx="199">
                    <c:v>2026</c:v>
                  </c:pt>
                  <c:pt idx="200">
                    <c:v>2027</c:v>
                  </c:pt>
                </c:lvl>
              </c:multiLvlStrCache>
            </c:multiLvlStrRef>
          </c:cat>
          <c:val>
            <c:numRef>
              <c:f>Sales_Data!$C$3:$C$206</c:f>
              <c:numCache>
                <c:formatCode>General</c:formatCode>
                <c:ptCount val="204"/>
                <c:pt idx="0">
                  <c:v>14695</c:v>
                </c:pt>
                <c:pt idx="1">
                  <c:v>20753</c:v>
                </c:pt>
                <c:pt idx="2">
                  <c:v>18285</c:v>
                </c:pt>
                <c:pt idx="3">
                  <c:v>42579</c:v>
                </c:pt>
                <c:pt idx="4">
                  <c:v>28005</c:v>
                </c:pt>
                <c:pt idx="5">
                  <c:v>9919</c:v>
                </c:pt>
                <c:pt idx="6">
                  <c:v>53047</c:v>
                </c:pt>
                <c:pt idx="7">
                  <c:v>28804</c:v>
                </c:pt>
                <c:pt idx="8">
                  <c:v>59274</c:v>
                </c:pt>
                <c:pt idx="9">
                  <c:v>13210</c:v>
                </c:pt>
                <c:pt idx="10">
                  <c:v>52150</c:v>
                </c:pt>
                <c:pt idx="11">
                  <c:v>27246</c:v>
                </c:pt>
                <c:pt idx="12">
                  <c:v>43189</c:v>
                </c:pt>
                <c:pt idx="13">
                  <c:v>55872</c:v>
                </c:pt>
                <c:pt idx="14">
                  <c:v>54793</c:v>
                </c:pt>
                <c:pt idx="15">
                  <c:v>16112</c:v>
                </c:pt>
                <c:pt idx="16">
                  <c:v>15596</c:v>
                </c:pt>
                <c:pt idx="17">
                  <c:v>40873</c:v>
                </c:pt>
                <c:pt idx="18">
                  <c:v>8433</c:v>
                </c:pt>
                <c:pt idx="19">
                  <c:v>23008</c:v>
                </c:pt>
                <c:pt idx="20">
                  <c:v>45172</c:v>
                </c:pt>
                <c:pt idx="21">
                  <c:v>46339</c:v>
                </c:pt>
                <c:pt idx="22">
                  <c:v>50545</c:v>
                </c:pt>
                <c:pt idx="23">
                  <c:v>46169</c:v>
                </c:pt>
                <c:pt idx="24">
                  <c:v>53085</c:v>
                </c:pt>
                <c:pt idx="25">
                  <c:v>37769</c:v>
                </c:pt>
                <c:pt idx="26">
                  <c:v>10210</c:v>
                </c:pt>
                <c:pt idx="27">
                  <c:v>53376</c:v>
                </c:pt>
                <c:pt idx="28">
                  <c:v>43076</c:v>
                </c:pt>
                <c:pt idx="29">
                  <c:v>28116</c:v>
                </c:pt>
                <c:pt idx="30">
                  <c:v>42803</c:v>
                </c:pt>
                <c:pt idx="31">
                  <c:v>45281</c:v>
                </c:pt>
                <c:pt idx="32">
                  <c:v>28467</c:v>
                </c:pt>
                <c:pt idx="33">
                  <c:v>34947</c:v>
                </c:pt>
                <c:pt idx="34">
                  <c:v>35193</c:v>
                </c:pt>
                <c:pt idx="35">
                  <c:v>26377</c:v>
                </c:pt>
                <c:pt idx="36">
                  <c:v>16236</c:v>
                </c:pt>
                <c:pt idx="37">
                  <c:v>27158</c:v>
                </c:pt>
                <c:pt idx="38">
                  <c:v>17302</c:v>
                </c:pt>
                <c:pt idx="39">
                  <c:v>41165</c:v>
                </c:pt>
                <c:pt idx="40">
                  <c:v>32238</c:v>
                </c:pt>
                <c:pt idx="41">
                  <c:v>43193</c:v>
                </c:pt>
                <c:pt idx="42">
                  <c:v>38131</c:v>
                </c:pt>
                <c:pt idx="43">
                  <c:v>21236</c:v>
                </c:pt>
                <c:pt idx="44">
                  <c:v>16596</c:v>
                </c:pt>
                <c:pt idx="45">
                  <c:v>19305</c:v>
                </c:pt>
                <c:pt idx="46">
                  <c:v>48535</c:v>
                </c:pt>
                <c:pt idx="47">
                  <c:v>45266</c:v>
                </c:pt>
                <c:pt idx="48">
                  <c:v>22956</c:v>
                </c:pt>
                <c:pt idx="49">
                  <c:v>18104</c:v>
                </c:pt>
                <c:pt idx="50">
                  <c:v>27117</c:v>
                </c:pt>
                <c:pt idx="51">
                  <c:v>24155</c:v>
                </c:pt>
                <c:pt idx="52">
                  <c:v>43606</c:v>
                </c:pt>
                <c:pt idx="53">
                  <c:v>47077</c:v>
                </c:pt>
                <c:pt idx="54">
                  <c:v>47987</c:v>
                </c:pt>
                <c:pt idx="55">
                  <c:v>39125</c:v>
                </c:pt>
                <c:pt idx="56">
                  <c:v>33454</c:v>
                </c:pt>
                <c:pt idx="57">
                  <c:v>8914</c:v>
                </c:pt>
                <c:pt idx="58">
                  <c:v>29869</c:v>
                </c:pt>
                <c:pt idx="59">
                  <c:v>24140</c:v>
                </c:pt>
                <c:pt idx="60">
                  <c:v>21096</c:v>
                </c:pt>
                <c:pt idx="61">
                  <c:v>43174</c:v>
                </c:pt>
                <c:pt idx="62">
                  <c:v>39047</c:v>
                </c:pt>
                <c:pt idx="63">
                  <c:v>35218</c:v>
                </c:pt>
                <c:pt idx="64">
                  <c:v>46913</c:v>
                </c:pt>
                <c:pt idx="65">
                  <c:v>10880</c:v>
                </c:pt>
                <c:pt idx="66">
                  <c:v>46304</c:v>
                </c:pt>
                <c:pt idx="67">
                  <c:v>39945</c:v>
                </c:pt>
                <c:pt idx="68">
                  <c:v>28768</c:v>
                </c:pt>
                <c:pt idx="69">
                  <c:v>46628</c:v>
                </c:pt>
                <c:pt idx="70">
                  <c:v>37392</c:v>
                </c:pt>
                <c:pt idx="71">
                  <c:v>26124</c:v>
                </c:pt>
                <c:pt idx="72">
                  <c:v>39452</c:v>
                </c:pt>
                <c:pt idx="73">
                  <c:v>45991</c:v>
                </c:pt>
                <c:pt idx="74">
                  <c:v>27418</c:v>
                </c:pt>
                <c:pt idx="75">
                  <c:v>9927</c:v>
                </c:pt>
                <c:pt idx="76">
                  <c:v>14499</c:v>
                </c:pt>
                <c:pt idx="77">
                  <c:v>57604</c:v>
                </c:pt>
                <c:pt idx="78">
                  <c:v>58046</c:v>
                </c:pt>
                <c:pt idx="79">
                  <c:v>42741</c:v>
                </c:pt>
                <c:pt idx="80">
                  <c:v>10234</c:v>
                </c:pt>
                <c:pt idx="81">
                  <c:v>43145</c:v>
                </c:pt>
                <c:pt idx="82">
                  <c:v>22755</c:v>
                </c:pt>
                <c:pt idx="83">
                  <c:v>50354</c:v>
                </c:pt>
                <c:pt idx="84">
                  <c:v>11874</c:v>
                </c:pt>
                <c:pt idx="85">
                  <c:v>45383</c:v>
                </c:pt>
                <c:pt idx="86">
                  <c:v>51339</c:v>
                </c:pt>
                <c:pt idx="87">
                  <c:v>45511</c:v>
                </c:pt>
                <c:pt idx="88">
                  <c:v>53771</c:v>
                </c:pt>
                <c:pt idx="89">
                  <c:v>20017</c:v>
                </c:pt>
                <c:pt idx="90">
                  <c:v>49584</c:v>
                </c:pt>
                <c:pt idx="91">
                  <c:v>42180</c:v>
                </c:pt>
                <c:pt idx="92">
                  <c:v>45705</c:v>
                </c:pt>
                <c:pt idx="93">
                  <c:v>11899</c:v>
                </c:pt>
                <c:pt idx="94">
                  <c:v>44601</c:v>
                </c:pt>
                <c:pt idx="95">
                  <c:v>26784</c:v>
                </c:pt>
                <c:pt idx="96">
                  <c:v>25764</c:v>
                </c:pt>
                <c:pt idx="97">
                  <c:v>30540</c:v>
                </c:pt>
                <c:pt idx="98">
                  <c:v>42130</c:v>
                </c:pt>
                <c:pt idx="99">
                  <c:v>22342</c:v>
                </c:pt>
                <c:pt idx="100">
                  <c:v>31679</c:v>
                </c:pt>
                <c:pt idx="101">
                  <c:v>15520</c:v>
                </c:pt>
                <c:pt idx="102">
                  <c:v>37312</c:v>
                </c:pt>
                <c:pt idx="103">
                  <c:v>30423</c:v>
                </c:pt>
                <c:pt idx="104">
                  <c:v>14149</c:v>
                </c:pt>
                <c:pt idx="105">
                  <c:v>54033</c:v>
                </c:pt>
                <c:pt idx="106">
                  <c:v>29710</c:v>
                </c:pt>
                <c:pt idx="107">
                  <c:v>36678</c:v>
                </c:pt>
                <c:pt idx="108">
                  <c:v>32882</c:v>
                </c:pt>
                <c:pt idx="109">
                  <c:v>18039</c:v>
                </c:pt>
                <c:pt idx="110">
                  <c:v>38275</c:v>
                </c:pt>
                <c:pt idx="111">
                  <c:v>42345</c:v>
                </c:pt>
                <c:pt idx="112">
                  <c:v>22146</c:v>
                </c:pt>
                <c:pt idx="113">
                  <c:v>23786</c:v>
                </c:pt>
                <c:pt idx="114">
                  <c:v>55252</c:v>
                </c:pt>
                <c:pt idx="115">
                  <c:v>55713</c:v>
                </c:pt>
                <c:pt idx="116">
                  <c:v>18610</c:v>
                </c:pt>
                <c:pt idx="117">
                  <c:v>28609</c:v>
                </c:pt>
                <c:pt idx="118">
                  <c:v>21099</c:v>
                </c:pt>
                <c:pt idx="119">
                  <c:v>38362</c:v>
                </c:pt>
                <c:pt idx="120">
                  <c:v>49756</c:v>
                </c:pt>
                <c:pt idx="121">
                  <c:v>52757</c:v>
                </c:pt>
                <c:pt idx="122">
                  <c:v>47351</c:v>
                </c:pt>
                <c:pt idx="123">
                  <c:v>55284</c:v>
                </c:pt>
                <c:pt idx="124">
                  <c:v>49642</c:v>
                </c:pt>
                <c:pt idx="125">
                  <c:v>29658</c:v>
                </c:pt>
                <c:pt idx="126">
                  <c:v>54452</c:v>
                </c:pt>
                <c:pt idx="127">
                  <c:v>12497</c:v>
                </c:pt>
                <c:pt idx="128">
                  <c:v>31579</c:v>
                </c:pt>
                <c:pt idx="129">
                  <c:v>41398</c:v>
                </c:pt>
                <c:pt idx="130">
                  <c:v>29717</c:v>
                </c:pt>
                <c:pt idx="131">
                  <c:v>18703</c:v>
                </c:pt>
                <c:pt idx="132">
                  <c:v>24007</c:v>
                </c:pt>
                <c:pt idx="133">
                  <c:v>25655</c:v>
                </c:pt>
                <c:pt idx="134">
                  <c:v>43885</c:v>
                </c:pt>
                <c:pt idx="135">
                  <c:v>29642</c:v>
                </c:pt>
                <c:pt idx="136">
                  <c:v>48017</c:v>
                </c:pt>
                <c:pt idx="137">
                  <c:v>22203</c:v>
                </c:pt>
                <c:pt idx="138">
                  <c:v>23080</c:v>
                </c:pt>
                <c:pt idx="139">
                  <c:v>45899</c:v>
                </c:pt>
                <c:pt idx="140">
                  <c:v>12656</c:v>
                </c:pt>
                <c:pt idx="141">
                  <c:v>49375</c:v>
                </c:pt>
                <c:pt idx="142">
                  <c:v>26074</c:v>
                </c:pt>
                <c:pt idx="143">
                  <c:v>37340</c:v>
                </c:pt>
                <c:pt idx="144">
                  <c:v>51508</c:v>
                </c:pt>
                <c:pt idx="145">
                  <c:v>30900</c:v>
                </c:pt>
                <c:pt idx="146">
                  <c:v>19871</c:v>
                </c:pt>
                <c:pt idx="147">
                  <c:v>49941</c:v>
                </c:pt>
                <c:pt idx="148">
                  <c:v>44683</c:v>
                </c:pt>
                <c:pt idx="149">
                  <c:v>51917</c:v>
                </c:pt>
                <c:pt idx="150">
                  <c:v>49949</c:v>
                </c:pt>
                <c:pt idx="151">
                  <c:v>18310</c:v>
                </c:pt>
                <c:pt idx="152">
                  <c:v>8241</c:v>
                </c:pt>
                <c:pt idx="153">
                  <c:v>45477</c:v>
                </c:pt>
                <c:pt idx="154">
                  <c:v>32071</c:v>
                </c:pt>
                <c:pt idx="155">
                  <c:v>55211</c:v>
                </c:pt>
                <c:pt idx="156">
                  <c:v>27314</c:v>
                </c:pt>
                <c:pt idx="157">
                  <c:v>27522</c:v>
                </c:pt>
                <c:pt idx="158">
                  <c:v>53268</c:v>
                </c:pt>
                <c:pt idx="159">
                  <c:v>49247</c:v>
                </c:pt>
                <c:pt idx="160">
                  <c:v>43020</c:v>
                </c:pt>
                <c:pt idx="161">
                  <c:v>8248</c:v>
                </c:pt>
                <c:pt idx="162">
                  <c:v>32448</c:v>
                </c:pt>
                <c:pt idx="163">
                  <c:v>47349</c:v>
                </c:pt>
                <c:pt idx="164">
                  <c:v>20529</c:v>
                </c:pt>
                <c:pt idx="165">
                  <c:v>9375</c:v>
                </c:pt>
                <c:pt idx="166">
                  <c:v>20179</c:v>
                </c:pt>
                <c:pt idx="167">
                  <c:v>54022</c:v>
                </c:pt>
                <c:pt idx="168">
                  <c:v>31727</c:v>
                </c:pt>
                <c:pt idx="169">
                  <c:v>13563</c:v>
                </c:pt>
                <c:pt idx="170">
                  <c:v>34710</c:v>
                </c:pt>
                <c:pt idx="171">
                  <c:v>13033</c:v>
                </c:pt>
                <c:pt idx="172">
                  <c:v>32355</c:v>
                </c:pt>
                <c:pt idx="173">
                  <c:v>48947</c:v>
                </c:pt>
                <c:pt idx="174">
                  <c:v>46679</c:v>
                </c:pt>
                <c:pt idx="175">
                  <c:v>39533</c:v>
                </c:pt>
                <c:pt idx="176">
                  <c:v>18074</c:v>
                </c:pt>
                <c:pt idx="177">
                  <c:v>36853</c:v>
                </c:pt>
                <c:pt idx="178">
                  <c:v>30332</c:v>
                </c:pt>
                <c:pt idx="179">
                  <c:v>18320</c:v>
                </c:pt>
                <c:pt idx="180">
                  <c:v>36784</c:v>
                </c:pt>
                <c:pt idx="181">
                  <c:v>31094</c:v>
                </c:pt>
                <c:pt idx="182">
                  <c:v>21874</c:v>
                </c:pt>
                <c:pt idx="183">
                  <c:v>49575</c:v>
                </c:pt>
                <c:pt idx="184">
                  <c:v>10823</c:v>
                </c:pt>
                <c:pt idx="185">
                  <c:v>49543</c:v>
                </c:pt>
                <c:pt idx="186">
                  <c:v>33425</c:v>
                </c:pt>
                <c:pt idx="187">
                  <c:v>35334</c:v>
                </c:pt>
                <c:pt idx="188">
                  <c:v>22825</c:v>
                </c:pt>
                <c:pt idx="189">
                  <c:v>31471</c:v>
                </c:pt>
                <c:pt idx="190">
                  <c:v>25663</c:v>
                </c:pt>
                <c:pt idx="191">
                  <c:v>43360</c:v>
                </c:pt>
                <c:pt idx="192">
                  <c:v>11762</c:v>
                </c:pt>
                <c:pt idx="193">
                  <c:v>9198</c:v>
                </c:pt>
                <c:pt idx="194">
                  <c:v>44658</c:v>
                </c:pt>
                <c:pt idx="195">
                  <c:v>33903</c:v>
                </c:pt>
                <c:pt idx="196">
                  <c:v>10847</c:v>
                </c:pt>
                <c:pt idx="197">
                  <c:v>39354</c:v>
                </c:pt>
                <c:pt idx="198">
                  <c:v>36747</c:v>
                </c:pt>
                <c:pt idx="199">
                  <c:v>52855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4217803"/>
        <c:axId val="674314672"/>
      </c:lineChart>
      <c:catAx>
        <c:axId val="2242178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314672"/>
        <c:crosses val="autoZero"/>
        <c:auto val="1"/>
        <c:lblAlgn val="ctr"/>
        <c:lblOffset val="100"/>
        <c:noMultiLvlLbl val="0"/>
      </c:catAx>
      <c:valAx>
        <c:axId val="6743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217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563a87-0dea-4ce9-b77c-2b10f6f177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294005</xdr:colOff>
      <xdr:row>211</xdr:row>
      <xdr:rowOff>175260</xdr:rowOff>
    </xdr:from>
    <xdr:to>
      <xdr:col>12</xdr:col>
      <xdr:colOff>396240</xdr:colOff>
      <xdr:row>235</xdr:row>
      <xdr:rowOff>40005</xdr:rowOff>
    </xdr:to>
    <xdr:graphicFrame>
      <xdr:nvGraphicFramePr>
        <xdr:cNvPr id="2" name="Chart 1"/>
        <xdr:cNvGraphicFramePr/>
      </xdr:nvGraphicFramePr>
      <xdr:xfrm>
        <a:off x="1551305" y="39030910"/>
        <a:ext cx="8053705" cy="428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9"/>
  <sheetViews>
    <sheetView tabSelected="1" zoomScale="115" zoomScaleNormal="115" workbookViewId="0">
      <selection activeCell="G3" sqref="G3"/>
    </sheetView>
  </sheetViews>
  <sheetFormatPr defaultColWidth="9" defaultRowHeight="14.5"/>
  <cols>
    <col min="5" max="5" width="12.8181818181818"/>
    <col min="7" max="7" width="20.0727272727273" customWidth="1"/>
    <col min="8" max="8" width="17.9454545454545" customWidth="1"/>
  </cols>
  <sheetData>
    <row r="1" spans="5:13">
      <c r="E1" s="1" t="s">
        <v>0</v>
      </c>
      <c r="F1" s="1"/>
      <c r="G1" s="1"/>
      <c r="J1" s="1" t="s">
        <v>1</v>
      </c>
      <c r="K1" s="1"/>
      <c r="L1" s="1"/>
      <c r="M1" t="s">
        <v>2</v>
      </c>
    </row>
    <row r="2" spans="1:10">
      <c r="A2" s="1" t="s">
        <v>3</v>
      </c>
      <c r="B2" s="1" t="s">
        <v>4</v>
      </c>
      <c r="C2" s="1" t="s">
        <v>5</v>
      </c>
      <c r="E2" t="s">
        <v>6</v>
      </c>
      <c r="G2" t="s">
        <v>7</v>
      </c>
      <c r="H2" t="s">
        <v>8</v>
      </c>
      <c r="J2" t="s">
        <v>9</v>
      </c>
    </row>
    <row r="3" spans="1:4">
      <c r="A3">
        <v>2010</v>
      </c>
      <c r="B3" t="s">
        <v>10</v>
      </c>
      <c r="C3">
        <v>14695</v>
      </c>
      <c r="D3" t="s">
        <v>11</v>
      </c>
    </row>
    <row r="4" spans="1:4">
      <c r="A4">
        <v>2010</v>
      </c>
      <c r="B4" t="s">
        <v>12</v>
      </c>
      <c r="C4">
        <v>20753</v>
      </c>
      <c r="D4" t="s">
        <v>13</v>
      </c>
    </row>
    <row r="5" spans="1:4">
      <c r="A5">
        <v>2010</v>
      </c>
      <c r="B5" t="s">
        <v>14</v>
      </c>
      <c r="C5">
        <v>18285</v>
      </c>
      <c r="D5" t="s">
        <v>15</v>
      </c>
    </row>
    <row r="6" spans="1:7">
      <c r="A6">
        <v>2010</v>
      </c>
      <c r="B6" t="s">
        <v>16</v>
      </c>
      <c r="C6">
        <v>42579</v>
      </c>
      <c r="D6" t="s">
        <v>17</v>
      </c>
      <c r="G6" s="2"/>
    </row>
    <row r="7" spans="1:10">
      <c r="A7">
        <v>2010</v>
      </c>
      <c r="B7" t="s">
        <v>18</v>
      </c>
      <c r="C7">
        <v>28005</v>
      </c>
      <c r="D7" t="s">
        <v>19</v>
      </c>
      <c r="E7">
        <f>AVERAGE(C3:C6)</f>
        <v>24078</v>
      </c>
      <c r="G7">
        <f>(E7-C7)^2</f>
        <v>15421329</v>
      </c>
      <c r="H7">
        <f>((E7-C7)/C7)*100</f>
        <v>-14.0224959828602</v>
      </c>
      <c r="J7">
        <f>C3+(C6-C5)+(C5-C4)+(C4-C3)</f>
        <v>42579</v>
      </c>
    </row>
    <row r="8" spans="1:10">
      <c r="A8">
        <v>2010</v>
      </c>
      <c r="B8" t="s">
        <v>20</v>
      </c>
      <c r="C8">
        <v>9919</v>
      </c>
      <c r="E8">
        <f t="shared" ref="E8:E39" si="0">AVERAGE(C4:C7)</f>
        <v>27405.5</v>
      </c>
      <c r="G8">
        <f t="shared" ref="G8:G39" si="1">(E8-C8)^2</f>
        <v>305777682.25</v>
      </c>
      <c r="H8">
        <f t="shared" ref="H8:H39" si="2">((E8-C8)/C8)*100</f>
        <v>176.292973081964</v>
      </c>
      <c r="J8">
        <f t="shared" ref="J8:J39" si="3">C4+(C7-C6)+(C6-C5)+(C5-C4)</f>
        <v>28005</v>
      </c>
    </row>
    <row r="9" spans="1:10">
      <c r="A9">
        <v>2010</v>
      </c>
      <c r="B9" t="s">
        <v>21</v>
      </c>
      <c r="C9">
        <v>53047</v>
      </c>
      <c r="E9">
        <f t="shared" si="0"/>
        <v>24697</v>
      </c>
      <c r="G9">
        <f t="shared" si="1"/>
        <v>803722500</v>
      </c>
      <c r="H9">
        <f t="shared" si="2"/>
        <v>-53.4431730352329</v>
      </c>
      <c r="J9">
        <f t="shared" si="3"/>
        <v>9919</v>
      </c>
    </row>
    <row r="10" spans="1:10">
      <c r="A10">
        <v>2010</v>
      </c>
      <c r="B10" t="s">
        <v>22</v>
      </c>
      <c r="C10">
        <v>28804</v>
      </c>
      <c r="E10">
        <f t="shared" si="0"/>
        <v>33387.5</v>
      </c>
      <c r="G10">
        <f t="shared" si="1"/>
        <v>21008472.25</v>
      </c>
      <c r="H10">
        <f t="shared" si="2"/>
        <v>15.9127204554923</v>
      </c>
      <c r="J10">
        <f t="shared" si="3"/>
        <v>53047</v>
      </c>
    </row>
    <row r="11" spans="1:10">
      <c r="A11">
        <v>2010</v>
      </c>
      <c r="B11" t="s">
        <v>23</v>
      </c>
      <c r="C11">
        <v>59274</v>
      </c>
      <c r="E11">
        <f t="shared" si="0"/>
        <v>29943.75</v>
      </c>
      <c r="G11">
        <f t="shared" si="1"/>
        <v>860263565.0625</v>
      </c>
      <c r="H11">
        <f t="shared" si="2"/>
        <v>-49.4824881060836</v>
      </c>
      <c r="J11">
        <f t="shared" si="3"/>
        <v>28804</v>
      </c>
    </row>
    <row r="12" spans="1:10">
      <c r="A12">
        <v>2010</v>
      </c>
      <c r="B12" t="s">
        <v>24</v>
      </c>
      <c r="C12">
        <v>13210</v>
      </c>
      <c r="E12">
        <f t="shared" si="0"/>
        <v>37761</v>
      </c>
      <c r="G12">
        <f t="shared" si="1"/>
        <v>602751601</v>
      </c>
      <c r="H12">
        <f t="shared" si="2"/>
        <v>185.851627554883</v>
      </c>
      <c r="J12">
        <f t="shared" si="3"/>
        <v>59274</v>
      </c>
    </row>
    <row r="13" spans="1:10">
      <c r="A13">
        <v>2010</v>
      </c>
      <c r="B13" t="s">
        <v>25</v>
      </c>
      <c r="C13">
        <v>52150</v>
      </c>
      <c r="E13">
        <f t="shared" si="0"/>
        <v>38583.75</v>
      </c>
      <c r="G13">
        <f t="shared" si="1"/>
        <v>184043139.0625</v>
      </c>
      <c r="H13">
        <f t="shared" si="2"/>
        <v>-26.0139022051774</v>
      </c>
      <c r="J13">
        <f t="shared" si="3"/>
        <v>13210</v>
      </c>
    </row>
    <row r="14" spans="1:10">
      <c r="A14">
        <v>2010</v>
      </c>
      <c r="B14" t="s">
        <v>26</v>
      </c>
      <c r="C14">
        <v>27246</v>
      </c>
      <c r="E14">
        <f t="shared" si="0"/>
        <v>38359.5</v>
      </c>
      <c r="G14">
        <f t="shared" si="1"/>
        <v>123509882.25</v>
      </c>
      <c r="H14">
        <f t="shared" si="2"/>
        <v>40.7894736842105</v>
      </c>
      <c r="J14">
        <f t="shared" si="3"/>
        <v>52150</v>
      </c>
    </row>
    <row r="15" spans="1:10">
      <c r="A15">
        <v>2011</v>
      </c>
      <c r="B15" t="s">
        <v>10</v>
      </c>
      <c r="C15">
        <v>43189</v>
      </c>
      <c r="E15">
        <f t="shared" si="0"/>
        <v>37970</v>
      </c>
      <c r="G15">
        <f t="shared" si="1"/>
        <v>27237961</v>
      </c>
      <c r="H15">
        <f t="shared" si="2"/>
        <v>-12.0840954872769</v>
      </c>
      <c r="J15">
        <f t="shared" si="3"/>
        <v>27246</v>
      </c>
    </row>
    <row r="16" spans="1:10">
      <c r="A16">
        <v>2011</v>
      </c>
      <c r="B16" t="s">
        <v>12</v>
      </c>
      <c r="C16">
        <v>55872</v>
      </c>
      <c r="E16">
        <f t="shared" si="0"/>
        <v>33948.75</v>
      </c>
      <c r="G16">
        <f t="shared" si="1"/>
        <v>480628890.5625</v>
      </c>
      <c r="H16">
        <f t="shared" si="2"/>
        <v>-39.2383483676976</v>
      </c>
      <c r="J16">
        <f t="shared" si="3"/>
        <v>43189</v>
      </c>
    </row>
    <row r="17" spans="1:10">
      <c r="A17">
        <v>2011</v>
      </c>
      <c r="B17" t="s">
        <v>14</v>
      </c>
      <c r="C17">
        <v>54793</v>
      </c>
      <c r="E17">
        <f t="shared" si="0"/>
        <v>44614.25</v>
      </c>
      <c r="G17">
        <f t="shared" si="1"/>
        <v>103606951.5625</v>
      </c>
      <c r="H17">
        <f t="shared" si="2"/>
        <v>-18.5767342543756</v>
      </c>
      <c r="J17">
        <f t="shared" si="3"/>
        <v>55872</v>
      </c>
    </row>
    <row r="18" spans="1:10">
      <c r="A18">
        <v>2011</v>
      </c>
      <c r="B18" t="s">
        <v>16</v>
      </c>
      <c r="C18">
        <v>16112</v>
      </c>
      <c r="E18">
        <f t="shared" si="0"/>
        <v>45275</v>
      </c>
      <c r="G18">
        <f t="shared" si="1"/>
        <v>850480569</v>
      </c>
      <c r="H18">
        <f t="shared" si="2"/>
        <v>181.001737835154</v>
      </c>
      <c r="J18">
        <f t="shared" si="3"/>
        <v>54793</v>
      </c>
    </row>
    <row r="19" spans="1:10">
      <c r="A19">
        <v>2011</v>
      </c>
      <c r="B19" t="s">
        <v>18</v>
      </c>
      <c r="C19">
        <v>15596</v>
      </c>
      <c r="E19">
        <f t="shared" si="0"/>
        <v>42491.5</v>
      </c>
      <c r="G19">
        <f t="shared" si="1"/>
        <v>723367920.25</v>
      </c>
      <c r="H19">
        <f t="shared" si="2"/>
        <v>172.451269556296</v>
      </c>
      <c r="J19">
        <f t="shared" si="3"/>
        <v>16112</v>
      </c>
    </row>
    <row r="20" spans="1:10">
      <c r="A20">
        <v>2011</v>
      </c>
      <c r="B20" t="s">
        <v>20</v>
      </c>
      <c r="C20">
        <v>40873</v>
      </c>
      <c r="E20">
        <f t="shared" si="0"/>
        <v>35593.25</v>
      </c>
      <c r="G20">
        <f t="shared" si="1"/>
        <v>27875760.0625</v>
      </c>
      <c r="H20">
        <f t="shared" si="2"/>
        <v>-12.9174516184278</v>
      </c>
      <c r="J20">
        <f t="shared" si="3"/>
        <v>15596</v>
      </c>
    </row>
    <row r="21" spans="1:10">
      <c r="A21">
        <v>2011</v>
      </c>
      <c r="B21" t="s">
        <v>21</v>
      </c>
      <c r="C21">
        <v>8433</v>
      </c>
      <c r="E21">
        <f t="shared" si="0"/>
        <v>31843.5</v>
      </c>
      <c r="G21">
        <f t="shared" si="1"/>
        <v>548051510.25</v>
      </c>
      <c r="H21">
        <f t="shared" si="2"/>
        <v>277.605834222697</v>
      </c>
      <c r="J21">
        <f t="shared" si="3"/>
        <v>40873</v>
      </c>
    </row>
    <row r="22" spans="1:10">
      <c r="A22">
        <v>2011</v>
      </c>
      <c r="B22" t="s">
        <v>22</v>
      </c>
      <c r="C22">
        <v>23008</v>
      </c>
      <c r="E22">
        <f t="shared" si="0"/>
        <v>20253.5</v>
      </c>
      <c r="G22">
        <f t="shared" si="1"/>
        <v>7587270.25</v>
      </c>
      <c r="H22">
        <f t="shared" si="2"/>
        <v>-11.9719228094576</v>
      </c>
      <c r="J22">
        <f t="shared" si="3"/>
        <v>8433</v>
      </c>
    </row>
    <row r="23" spans="1:10">
      <c r="A23">
        <v>2011</v>
      </c>
      <c r="B23" t="s">
        <v>23</v>
      </c>
      <c r="C23">
        <v>45172</v>
      </c>
      <c r="E23">
        <f t="shared" si="0"/>
        <v>21977.5</v>
      </c>
      <c r="G23">
        <f t="shared" si="1"/>
        <v>537984830.25</v>
      </c>
      <c r="H23">
        <f t="shared" si="2"/>
        <v>-51.347073408306</v>
      </c>
      <c r="J23">
        <f t="shared" si="3"/>
        <v>23008</v>
      </c>
    </row>
    <row r="24" spans="1:10">
      <c r="A24">
        <v>2011</v>
      </c>
      <c r="B24" t="s">
        <v>24</v>
      </c>
      <c r="C24">
        <v>46339</v>
      </c>
      <c r="E24">
        <f t="shared" si="0"/>
        <v>29371.5</v>
      </c>
      <c r="G24">
        <f t="shared" si="1"/>
        <v>287896056.25</v>
      </c>
      <c r="H24">
        <f t="shared" si="2"/>
        <v>-36.6160253781912</v>
      </c>
      <c r="J24">
        <f t="shared" si="3"/>
        <v>45172</v>
      </c>
    </row>
    <row r="25" spans="1:10">
      <c r="A25">
        <v>2011</v>
      </c>
      <c r="B25" t="s">
        <v>25</v>
      </c>
      <c r="C25">
        <v>50545</v>
      </c>
      <c r="E25">
        <f t="shared" si="0"/>
        <v>30738</v>
      </c>
      <c r="G25">
        <f t="shared" si="1"/>
        <v>392317249</v>
      </c>
      <c r="H25">
        <f t="shared" si="2"/>
        <v>-39.1868631912157</v>
      </c>
      <c r="J25">
        <f t="shared" si="3"/>
        <v>46339</v>
      </c>
    </row>
    <row r="26" spans="1:10">
      <c r="A26">
        <v>2011</v>
      </c>
      <c r="B26" t="s">
        <v>26</v>
      </c>
      <c r="C26">
        <v>46169</v>
      </c>
      <c r="E26">
        <f t="shared" si="0"/>
        <v>41266</v>
      </c>
      <c r="G26">
        <f t="shared" si="1"/>
        <v>24039409</v>
      </c>
      <c r="H26">
        <f t="shared" si="2"/>
        <v>-10.6196798717754</v>
      </c>
      <c r="J26">
        <f t="shared" si="3"/>
        <v>50545</v>
      </c>
    </row>
    <row r="27" spans="1:10">
      <c r="A27">
        <v>2012</v>
      </c>
      <c r="B27" t="s">
        <v>10</v>
      </c>
      <c r="C27">
        <v>53085</v>
      </c>
      <c r="E27">
        <f t="shared" si="0"/>
        <v>47056.25</v>
      </c>
      <c r="G27">
        <f t="shared" si="1"/>
        <v>36345826.5625</v>
      </c>
      <c r="H27">
        <f t="shared" si="2"/>
        <v>-11.3567862861449</v>
      </c>
      <c r="J27">
        <f t="shared" si="3"/>
        <v>46169</v>
      </c>
    </row>
    <row r="28" spans="1:10">
      <c r="A28">
        <v>2012</v>
      </c>
      <c r="B28" t="s">
        <v>12</v>
      </c>
      <c r="C28">
        <v>37769</v>
      </c>
      <c r="E28">
        <f t="shared" si="0"/>
        <v>49034.5</v>
      </c>
      <c r="G28">
        <f t="shared" si="1"/>
        <v>126911490.25</v>
      </c>
      <c r="H28">
        <f t="shared" si="2"/>
        <v>29.827371654002</v>
      </c>
      <c r="J28">
        <f t="shared" si="3"/>
        <v>53085</v>
      </c>
    </row>
    <row r="29" spans="1:10">
      <c r="A29">
        <v>2012</v>
      </c>
      <c r="B29" t="s">
        <v>14</v>
      </c>
      <c r="C29">
        <v>10210</v>
      </c>
      <c r="E29">
        <f t="shared" si="0"/>
        <v>46892</v>
      </c>
      <c r="G29">
        <f t="shared" si="1"/>
        <v>1345569124</v>
      </c>
      <c r="H29">
        <f t="shared" si="2"/>
        <v>359.275220372184</v>
      </c>
      <c r="J29">
        <f t="shared" si="3"/>
        <v>37769</v>
      </c>
    </row>
    <row r="30" spans="1:10">
      <c r="A30">
        <v>2012</v>
      </c>
      <c r="B30" t="s">
        <v>16</v>
      </c>
      <c r="C30">
        <v>53376</v>
      </c>
      <c r="E30">
        <f t="shared" si="0"/>
        <v>36808.25</v>
      </c>
      <c r="G30">
        <f t="shared" si="1"/>
        <v>274490340.0625</v>
      </c>
      <c r="H30">
        <f t="shared" si="2"/>
        <v>-31.0396994904077</v>
      </c>
      <c r="J30">
        <f t="shared" si="3"/>
        <v>10210</v>
      </c>
    </row>
    <row r="31" spans="1:10">
      <c r="A31">
        <v>2012</v>
      </c>
      <c r="B31" t="s">
        <v>18</v>
      </c>
      <c r="C31">
        <v>43076</v>
      </c>
      <c r="E31">
        <f t="shared" si="0"/>
        <v>38610</v>
      </c>
      <c r="G31">
        <f t="shared" si="1"/>
        <v>19945156</v>
      </c>
      <c r="H31">
        <f t="shared" si="2"/>
        <v>-10.367722165475</v>
      </c>
      <c r="J31">
        <f t="shared" si="3"/>
        <v>53376</v>
      </c>
    </row>
    <row r="32" spans="1:10">
      <c r="A32">
        <v>2012</v>
      </c>
      <c r="B32" t="s">
        <v>20</v>
      </c>
      <c r="C32">
        <v>28116</v>
      </c>
      <c r="E32">
        <f t="shared" si="0"/>
        <v>36107.75</v>
      </c>
      <c r="G32">
        <f t="shared" si="1"/>
        <v>63868068.0625</v>
      </c>
      <c r="H32">
        <f t="shared" si="2"/>
        <v>28.4242068573054</v>
      </c>
      <c r="J32">
        <f t="shared" si="3"/>
        <v>43076</v>
      </c>
    </row>
    <row r="33" spans="1:10">
      <c r="A33">
        <v>2012</v>
      </c>
      <c r="B33" t="s">
        <v>21</v>
      </c>
      <c r="C33">
        <v>42803</v>
      </c>
      <c r="E33">
        <f t="shared" si="0"/>
        <v>33694.5</v>
      </c>
      <c r="G33">
        <f t="shared" si="1"/>
        <v>82964772.25</v>
      </c>
      <c r="H33">
        <f t="shared" si="2"/>
        <v>-21.2800504637525</v>
      </c>
      <c r="J33">
        <f t="shared" si="3"/>
        <v>28116</v>
      </c>
    </row>
    <row r="34" spans="1:10">
      <c r="A34">
        <v>2012</v>
      </c>
      <c r="B34" t="s">
        <v>22</v>
      </c>
      <c r="C34">
        <v>45281</v>
      </c>
      <c r="E34">
        <f t="shared" si="0"/>
        <v>41842.75</v>
      </c>
      <c r="G34">
        <f t="shared" si="1"/>
        <v>11821563.0625</v>
      </c>
      <c r="H34">
        <f t="shared" si="2"/>
        <v>-7.59314061085223</v>
      </c>
      <c r="J34">
        <f t="shared" si="3"/>
        <v>42803</v>
      </c>
    </row>
    <row r="35" spans="1:10">
      <c r="A35">
        <v>2012</v>
      </c>
      <c r="B35" t="s">
        <v>23</v>
      </c>
      <c r="C35">
        <v>28467</v>
      </c>
      <c r="E35">
        <f t="shared" si="0"/>
        <v>39819</v>
      </c>
      <c r="G35">
        <f t="shared" si="1"/>
        <v>128867904</v>
      </c>
      <c r="H35">
        <f t="shared" si="2"/>
        <v>39.8777531879018</v>
      </c>
      <c r="J35">
        <f t="shared" si="3"/>
        <v>45281</v>
      </c>
    </row>
    <row r="36" spans="1:10">
      <c r="A36">
        <v>2012</v>
      </c>
      <c r="B36" t="s">
        <v>24</v>
      </c>
      <c r="C36">
        <v>34947</v>
      </c>
      <c r="E36">
        <f t="shared" si="0"/>
        <v>36166.75</v>
      </c>
      <c r="G36">
        <f t="shared" si="1"/>
        <v>1487790.0625</v>
      </c>
      <c r="H36">
        <f t="shared" si="2"/>
        <v>3.49028528915214</v>
      </c>
      <c r="J36">
        <f t="shared" si="3"/>
        <v>28467</v>
      </c>
    </row>
    <row r="37" spans="1:10">
      <c r="A37">
        <v>2012</v>
      </c>
      <c r="B37" t="s">
        <v>25</v>
      </c>
      <c r="C37">
        <v>35193</v>
      </c>
      <c r="E37">
        <f t="shared" si="0"/>
        <v>37874.5</v>
      </c>
      <c r="G37">
        <f t="shared" si="1"/>
        <v>7190442.25</v>
      </c>
      <c r="H37">
        <f t="shared" si="2"/>
        <v>7.61941295143921</v>
      </c>
      <c r="J37">
        <f t="shared" si="3"/>
        <v>34947</v>
      </c>
    </row>
    <row r="38" spans="1:10">
      <c r="A38">
        <v>2012</v>
      </c>
      <c r="B38" t="s">
        <v>26</v>
      </c>
      <c r="C38">
        <v>26377</v>
      </c>
      <c r="E38">
        <f t="shared" si="0"/>
        <v>35972</v>
      </c>
      <c r="G38">
        <f t="shared" si="1"/>
        <v>92064025</v>
      </c>
      <c r="H38">
        <f t="shared" si="2"/>
        <v>36.3763885203018</v>
      </c>
      <c r="J38">
        <f t="shared" si="3"/>
        <v>35193</v>
      </c>
    </row>
    <row r="39" spans="1:10">
      <c r="A39">
        <v>2013</v>
      </c>
      <c r="B39" t="s">
        <v>10</v>
      </c>
      <c r="C39">
        <v>16236</v>
      </c>
      <c r="E39">
        <f t="shared" si="0"/>
        <v>31246</v>
      </c>
      <c r="G39">
        <f t="shared" si="1"/>
        <v>225300100</v>
      </c>
      <c r="H39">
        <f t="shared" si="2"/>
        <v>92.4488790342449</v>
      </c>
      <c r="J39">
        <f t="shared" si="3"/>
        <v>26377</v>
      </c>
    </row>
    <row r="40" spans="1:10">
      <c r="A40">
        <v>2013</v>
      </c>
      <c r="B40" t="s">
        <v>12</v>
      </c>
      <c r="C40">
        <v>27158</v>
      </c>
      <c r="E40">
        <f t="shared" ref="E40:E71" si="4">AVERAGE(C36:C39)</f>
        <v>28188.25</v>
      </c>
      <c r="G40">
        <f t="shared" ref="G40:G71" si="5">(E40-C40)^2</f>
        <v>1061415.0625</v>
      </c>
      <c r="H40">
        <f t="shared" ref="H40:H71" si="6">((E40-C40)/C40)*100</f>
        <v>3.79354149790117</v>
      </c>
      <c r="J40">
        <f t="shared" ref="J40:J71" si="7">C36+(C39-C38)+(C38-C37)+(C37-C36)</f>
        <v>16236</v>
      </c>
    </row>
    <row r="41" spans="1:10">
      <c r="A41">
        <v>2013</v>
      </c>
      <c r="B41" t="s">
        <v>14</v>
      </c>
      <c r="C41">
        <v>17302</v>
      </c>
      <c r="E41">
        <f t="shared" si="4"/>
        <v>26241</v>
      </c>
      <c r="G41">
        <f t="shared" si="5"/>
        <v>79905721</v>
      </c>
      <c r="H41">
        <f t="shared" si="6"/>
        <v>51.6645474511617</v>
      </c>
      <c r="J41">
        <f t="shared" si="7"/>
        <v>27158</v>
      </c>
    </row>
    <row r="42" spans="1:10">
      <c r="A42">
        <v>2013</v>
      </c>
      <c r="B42" t="s">
        <v>16</v>
      </c>
      <c r="C42">
        <v>41165</v>
      </c>
      <c r="E42">
        <f t="shared" si="4"/>
        <v>21768.25</v>
      </c>
      <c r="G42">
        <f t="shared" si="5"/>
        <v>376233910.5625</v>
      </c>
      <c r="H42">
        <f t="shared" si="6"/>
        <v>-47.1195190088668</v>
      </c>
      <c r="J42">
        <f t="shared" si="7"/>
        <v>17302</v>
      </c>
    </row>
    <row r="43" spans="1:10">
      <c r="A43">
        <v>2013</v>
      </c>
      <c r="B43" t="s">
        <v>18</v>
      </c>
      <c r="C43">
        <v>32238</v>
      </c>
      <c r="E43">
        <f t="shared" si="4"/>
        <v>25465.25</v>
      </c>
      <c r="G43">
        <f t="shared" si="5"/>
        <v>45870142.5625</v>
      </c>
      <c r="H43">
        <f t="shared" si="6"/>
        <v>-21.0085923444382</v>
      </c>
      <c r="J43">
        <f t="shared" si="7"/>
        <v>41165</v>
      </c>
    </row>
    <row r="44" spans="1:10">
      <c r="A44">
        <v>2013</v>
      </c>
      <c r="B44" t="s">
        <v>20</v>
      </c>
      <c r="C44">
        <v>43193</v>
      </c>
      <c r="E44">
        <f t="shared" si="4"/>
        <v>29465.75</v>
      </c>
      <c r="G44">
        <f t="shared" si="5"/>
        <v>188437392.5625</v>
      </c>
      <c r="H44">
        <f t="shared" si="6"/>
        <v>-31.7811913967541</v>
      </c>
      <c r="J44">
        <f t="shared" si="7"/>
        <v>32238</v>
      </c>
    </row>
    <row r="45" spans="1:10">
      <c r="A45">
        <v>2013</v>
      </c>
      <c r="B45" t="s">
        <v>21</v>
      </c>
      <c r="C45">
        <v>38131</v>
      </c>
      <c r="E45">
        <f t="shared" si="4"/>
        <v>33474.5</v>
      </c>
      <c r="G45">
        <f t="shared" si="5"/>
        <v>21682992.25</v>
      </c>
      <c r="H45">
        <f t="shared" si="6"/>
        <v>-12.2118486271013</v>
      </c>
      <c r="J45">
        <f t="shared" si="7"/>
        <v>43193</v>
      </c>
    </row>
    <row r="46" spans="1:10">
      <c r="A46">
        <v>2013</v>
      </c>
      <c r="B46" t="s">
        <v>22</v>
      </c>
      <c r="C46">
        <v>21236</v>
      </c>
      <c r="E46">
        <f t="shared" si="4"/>
        <v>38681.75</v>
      </c>
      <c r="G46">
        <f t="shared" si="5"/>
        <v>304354193.0625</v>
      </c>
      <c r="H46">
        <f t="shared" si="6"/>
        <v>82.1517705782633</v>
      </c>
      <c r="J46">
        <f t="shared" si="7"/>
        <v>38131</v>
      </c>
    </row>
    <row r="47" spans="1:10">
      <c r="A47">
        <v>2013</v>
      </c>
      <c r="B47" t="s">
        <v>23</v>
      </c>
      <c r="C47">
        <v>16596</v>
      </c>
      <c r="E47">
        <f t="shared" si="4"/>
        <v>33699.5</v>
      </c>
      <c r="G47">
        <f t="shared" si="5"/>
        <v>292529712.25</v>
      </c>
      <c r="H47">
        <f t="shared" si="6"/>
        <v>103.057965774886</v>
      </c>
      <c r="J47">
        <f t="shared" si="7"/>
        <v>21236</v>
      </c>
    </row>
    <row r="48" spans="1:10">
      <c r="A48">
        <v>2013</v>
      </c>
      <c r="B48" t="s">
        <v>24</v>
      </c>
      <c r="C48">
        <v>19305</v>
      </c>
      <c r="E48">
        <f t="shared" si="4"/>
        <v>29789</v>
      </c>
      <c r="G48">
        <f t="shared" si="5"/>
        <v>109914256</v>
      </c>
      <c r="H48">
        <f t="shared" si="6"/>
        <v>54.3071743071743</v>
      </c>
      <c r="J48">
        <f t="shared" si="7"/>
        <v>16596</v>
      </c>
    </row>
    <row r="49" spans="1:10">
      <c r="A49">
        <v>2013</v>
      </c>
      <c r="B49" t="s">
        <v>25</v>
      </c>
      <c r="C49">
        <v>48535</v>
      </c>
      <c r="E49">
        <f t="shared" si="4"/>
        <v>23817</v>
      </c>
      <c r="G49">
        <f t="shared" si="5"/>
        <v>610979524</v>
      </c>
      <c r="H49">
        <f t="shared" si="6"/>
        <v>-50.9281961471103</v>
      </c>
      <c r="J49">
        <f t="shared" si="7"/>
        <v>19305</v>
      </c>
    </row>
    <row r="50" spans="1:10">
      <c r="A50">
        <v>2013</v>
      </c>
      <c r="B50" t="s">
        <v>26</v>
      </c>
      <c r="C50">
        <v>45266</v>
      </c>
      <c r="E50">
        <f t="shared" si="4"/>
        <v>26418</v>
      </c>
      <c r="G50">
        <f t="shared" si="5"/>
        <v>355247104</v>
      </c>
      <c r="H50">
        <f t="shared" si="6"/>
        <v>-41.6383157336632</v>
      </c>
      <c r="J50">
        <f t="shared" si="7"/>
        <v>48535</v>
      </c>
    </row>
    <row r="51" spans="1:10">
      <c r="A51">
        <v>2014</v>
      </c>
      <c r="B51" t="s">
        <v>10</v>
      </c>
      <c r="C51">
        <v>22956</v>
      </c>
      <c r="E51">
        <f t="shared" si="4"/>
        <v>32425.5</v>
      </c>
      <c r="G51">
        <f t="shared" si="5"/>
        <v>89671430.25</v>
      </c>
      <c r="H51">
        <f t="shared" si="6"/>
        <v>41.2506534239415</v>
      </c>
      <c r="J51">
        <f t="shared" si="7"/>
        <v>45266</v>
      </c>
    </row>
    <row r="52" spans="1:10">
      <c r="A52">
        <v>2014</v>
      </c>
      <c r="B52" t="s">
        <v>12</v>
      </c>
      <c r="C52">
        <v>18104</v>
      </c>
      <c r="E52">
        <f t="shared" si="4"/>
        <v>34015.5</v>
      </c>
      <c r="G52">
        <f t="shared" si="5"/>
        <v>253175832.25</v>
      </c>
      <c r="H52">
        <f t="shared" si="6"/>
        <v>87.8894167034909</v>
      </c>
      <c r="J52">
        <f t="shared" si="7"/>
        <v>22956</v>
      </c>
    </row>
    <row r="53" spans="1:10">
      <c r="A53">
        <v>2014</v>
      </c>
      <c r="B53" t="s">
        <v>14</v>
      </c>
      <c r="C53">
        <v>27117</v>
      </c>
      <c r="E53">
        <f t="shared" si="4"/>
        <v>33715.25</v>
      </c>
      <c r="G53">
        <f t="shared" si="5"/>
        <v>43536903.0625</v>
      </c>
      <c r="H53">
        <f t="shared" si="6"/>
        <v>24.3325220341483</v>
      </c>
      <c r="J53">
        <f t="shared" si="7"/>
        <v>18104</v>
      </c>
    </row>
    <row r="54" spans="1:10">
      <c r="A54">
        <v>2014</v>
      </c>
      <c r="B54" t="s">
        <v>16</v>
      </c>
      <c r="C54">
        <v>24155</v>
      </c>
      <c r="E54">
        <f t="shared" si="4"/>
        <v>28360.75</v>
      </c>
      <c r="G54">
        <f t="shared" si="5"/>
        <v>17688333.0625</v>
      </c>
      <c r="H54">
        <f t="shared" si="6"/>
        <v>17.4115090043469</v>
      </c>
      <c r="J54">
        <f t="shared" si="7"/>
        <v>27117</v>
      </c>
    </row>
    <row r="55" spans="1:10">
      <c r="A55">
        <v>2014</v>
      </c>
      <c r="B55" t="s">
        <v>18</v>
      </c>
      <c r="C55">
        <v>43606</v>
      </c>
      <c r="E55">
        <f t="shared" si="4"/>
        <v>23083</v>
      </c>
      <c r="G55">
        <f t="shared" si="5"/>
        <v>421193529</v>
      </c>
      <c r="H55">
        <f t="shared" si="6"/>
        <v>-47.0646241342934</v>
      </c>
      <c r="J55">
        <f t="shared" si="7"/>
        <v>24155</v>
      </c>
    </row>
    <row r="56" spans="1:10">
      <c r="A56">
        <v>2014</v>
      </c>
      <c r="B56" t="s">
        <v>20</v>
      </c>
      <c r="C56">
        <v>47077</v>
      </c>
      <c r="E56">
        <f t="shared" si="4"/>
        <v>28245.5</v>
      </c>
      <c r="G56">
        <f t="shared" si="5"/>
        <v>354625392.25</v>
      </c>
      <c r="H56">
        <f t="shared" si="6"/>
        <v>-40.001486925675</v>
      </c>
      <c r="J56">
        <f t="shared" si="7"/>
        <v>43606</v>
      </c>
    </row>
    <row r="57" spans="1:10">
      <c r="A57">
        <v>2014</v>
      </c>
      <c r="B57" t="s">
        <v>21</v>
      </c>
      <c r="C57">
        <v>47987</v>
      </c>
      <c r="E57">
        <f t="shared" si="4"/>
        <v>35488.75</v>
      </c>
      <c r="G57">
        <f t="shared" si="5"/>
        <v>156206253.0625</v>
      </c>
      <c r="H57">
        <f t="shared" si="6"/>
        <v>-26.0450747077333</v>
      </c>
      <c r="J57">
        <f t="shared" si="7"/>
        <v>47077</v>
      </c>
    </row>
    <row r="58" spans="1:10">
      <c r="A58">
        <v>2014</v>
      </c>
      <c r="B58" t="s">
        <v>22</v>
      </c>
      <c r="C58">
        <v>39125</v>
      </c>
      <c r="E58">
        <f t="shared" si="4"/>
        <v>40706.25</v>
      </c>
      <c r="G58">
        <f t="shared" si="5"/>
        <v>2500351.5625</v>
      </c>
      <c r="H58">
        <f t="shared" si="6"/>
        <v>4.04153354632588</v>
      </c>
      <c r="J58">
        <f t="shared" si="7"/>
        <v>47987</v>
      </c>
    </row>
    <row r="59" spans="1:10">
      <c r="A59">
        <v>2014</v>
      </c>
      <c r="B59" t="s">
        <v>23</v>
      </c>
      <c r="C59">
        <v>33454</v>
      </c>
      <c r="E59">
        <f t="shared" si="4"/>
        <v>44448.75</v>
      </c>
      <c r="G59">
        <f t="shared" si="5"/>
        <v>120884527.5625</v>
      </c>
      <c r="H59">
        <f t="shared" si="6"/>
        <v>32.865277694745</v>
      </c>
      <c r="J59">
        <f t="shared" si="7"/>
        <v>39125</v>
      </c>
    </row>
    <row r="60" spans="1:10">
      <c r="A60">
        <v>2014</v>
      </c>
      <c r="B60" t="s">
        <v>24</v>
      </c>
      <c r="C60">
        <v>8914</v>
      </c>
      <c r="E60">
        <f t="shared" si="4"/>
        <v>41910.75</v>
      </c>
      <c r="G60">
        <f t="shared" si="5"/>
        <v>1088785510.5625</v>
      </c>
      <c r="H60">
        <f t="shared" si="6"/>
        <v>370.167713708773</v>
      </c>
      <c r="J60">
        <f t="shared" si="7"/>
        <v>33454</v>
      </c>
    </row>
    <row r="61" spans="1:10">
      <c r="A61">
        <v>2014</v>
      </c>
      <c r="B61" t="s">
        <v>25</v>
      </c>
      <c r="C61">
        <v>29869</v>
      </c>
      <c r="E61">
        <f t="shared" si="4"/>
        <v>32370</v>
      </c>
      <c r="G61">
        <f t="shared" si="5"/>
        <v>6255001</v>
      </c>
      <c r="H61">
        <f t="shared" si="6"/>
        <v>8.37322976999565</v>
      </c>
      <c r="J61">
        <f t="shared" si="7"/>
        <v>8914</v>
      </c>
    </row>
    <row r="62" spans="1:10">
      <c r="A62">
        <v>2014</v>
      </c>
      <c r="B62" t="s">
        <v>26</v>
      </c>
      <c r="C62">
        <v>24140</v>
      </c>
      <c r="E62">
        <f t="shared" si="4"/>
        <v>27840.5</v>
      </c>
      <c r="G62">
        <f t="shared" si="5"/>
        <v>13693700.25</v>
      </c>
      <c r="H62">
        <f t="shared" si="6"/>
        <v>15.3293289146645</v>
      </c>
      <c r="J62">
        <f t="shared" si="7"/>
        <v>29869</v>
      </c>
    </row>
    <row r="63" spans="1:10">
      <c r="A63">
        <v>2015</v>
      </c>
      <c r="B63" t="s">
        <v>10</v>
      </c>
      <c r="C63">
        <v>21096</v>
      </c>
      <c r="E63">
        <f t="shared" si="4"/>
        <v>24094.25</v>
      </c>
      <c r="G63">
        <f t="shared" si="5"/>
        <v>8989503.0625</v>
      </c>
      <c r="H63">
        <f t="shared" si="6"/>
        <v>14.2124099355328</v>
      </c>
      <c r="J63">
        <f t="shared" si="7"/>
        <v>24140</v>
      </c>
    </row>
    <row r="64" spans="1:10">
      <c r="A64">
        <v>2015</v>
      </c>
      <c r="B64" t="s">
        <v>12</v>
      </c>
      <c r="C64">
        <v>43174</v>
      </c>
      <c r="E64">
        <f t="shared" si="4"/>
        <v>21004.75</v>
      </c>
      <c r="G64">
        <f t="shared" si="5"/>
        <v>491475645.5625</v>
      </c>
      <c r="H64">
        <f t="shared" si="6"/>
        <v>-51.3486125909112</v>
      </c>
      <c r="J64">
        <f t="shared" si="7"/>
        <v>21096</v>
      </c>
    </row>
    <row r="65" spans="1:10">
      <c r="A65">
        <v>2015</v>
      </c>
      <c r="B65" t="s">
        <v>14</v>
      </c>
      <c r="C65">
        <v>39047</v>
      </c>
      <c r="E65">
        <f t="shared" si="4"/>
        <v>29569.75</v>
      </c>
      <c r="G65">
        <f t="shared" si="5"/>
        <v>89818267.5625</v>
      </c>
      <c r="H65">
        <f t="shared" si="6"/>
        <v>-24.2713908879043</v>
      </c>
      <c r="J65">
        <f t="shared" si="7"/>
        <v>43174</v>
      </c>
    </row>
    <row r="66" spans="1:10">
      <c r="A66">
        <v>2015</v>
      </c>
      <c r="B66" t="s">
        <v>16</v>
      </c>
      <c r="C66">
        <v>35218</v>
      </c>
      <c r="E66">
        <f t="shared" si="4"/>
        <v>31864.25</v>
      </c>
      <c r="G66">
        <f t="shared" si="5"/>
        <v>11247639.0625</v>
      </c>
      <c r="H66">
        <f t="shared" si="6"/>
        <v>-9.52282923505026</v>
      </c>
      <c r="J66">
        <f t="shared" si="7"/>
        <v>39047</v>
      </c>
    </row>
    <row r="67" spans="1:10">
      <c r="A67">
        <v>2015</v>
      </c>
      <c r="B67" t="s">
        <v>18</v>
      </c>
      <c r="C67">
        <v>46913</v>
      </c>
      <c r="E67">
        <f t="shared" si="4"/>
        <v>34633.75</v>
      </c>
      <c r="G67">
        <f t="shared" si="5"/>
        <v>150779980.5625</v>
      </c>
      <c r="H67">
        <f t="shared" si="6"/>
        <v>-26.1745145268902</v>
      </c>
      <c r="J67">
        <f t="shared" si="7"/>
        <v>35218</v>
      </c>
    </row>
    <row r="68" spans="1:10">
      <c r="A68">
        <v>2015</v>
      </c>
      <c r="B68" t="s">
        <v>20</v>
      </c>
      <c r="C68">
        <v>10880</v>
      </c>
      <c r="E68">
        <f t="shared" si="4"/>
        <v>41088</v>
      </c>
      <c r="G68">
        <f t="shared" si="5"/>
        <v>912523264</v>
      </c>
      <c r="H68">
        <f t="shared" si="6"/>
        <v>277.647058823529</v>
      </c>
      <c r="J68">
        <f t="shared" si="7"/>
        <v>46913</v>
      </c>
    </row>
    <row r="69" spans="1:10">
      <c r="A69">
        <v>2015</v>
      </c>
      <c r="B69" t="s">
        <v>21</v>
      </c>
      <c r="C69">
        <v>46304</v>
      </c>
      <c r="E69">
        <f t="shared" si="4"/>
        <v>33014.5</v>
      </c>
      <c r="G69">
        <f t="shared" si="5"/>
        <v>176610810.25</v>
      </c>
      <c r="H69">
        <f t="shared" si="6"/>
        <v>-28.7005442294402</v>
      </c>
      <c r="J69">
        <f t="shared" si="7"/>
        <v>10880</v>
      </c>
    </row>
    <row r="70" spans="1:10">
      <c r="A70">
        <v>2015</v>
      </c>
      <c r="B70" t="s">
        <v>22</v>
      </c>
      <c r="C70">
        <v>39945</v>
      </c>
      <c r="E70">
        <f t="shared" si="4"/>
        <v>34828.75</v>
      </c>
      <c r="G70">
        <f t="shared" si="5"/>
        <v>26176014.0625</v>
      </c>
      <c r="H70">
        <f t="shared" si="6"/>
        <v>-12.8082363249468</v>
      </c>
      <c r="J70">
        <f t="shared" si="7"/>
        <v>46304</v>
      </c>
    </row>
    <row r="71" spans="1:10">
      <c r="A71">
        <v>2015</v>
      </c>
      <c r="B71" t="s">
        <v>23</v>
      </c>
      <c r="C71">
        <v>28768</v>
      </c>
      <c r="E71">
        <f t="shared" si="4"/>
        <v>36010.5</v>
      </c>
      <c r="G71">
        <f t="shared" si="5"/>
        <v>52453806.25</v>
      </c>
      <c r="H71">
        <f t="shared" si="6"/>
        <v>25.175542269188</v>
      </c>
      <c r="J71">
        <f t="shared" si="7"/>
        <v>39945</v>
      </c>
    </row>
    <row r="72" spans="1:10">
      <c r="A72">
        <v>2015</v>
      </c>
      <c r="B72" t="s">
        <v>24</v>
      </c>
      <c r="C72">
        <v>46628</v>
      </c>
      <c r="E72">
        <f t="shared" ref="E72:E103" si="8">AVERAGE(C68:C71)</f>
        <v>31474.25</v>
      </c>
      <c r="G72">
        <f t="shared" ref="G72:G103" si="9">(E72-C72)^2</f>
        <v>229636139.0625</v>
      </c>
      <c r="H72">
        <f t="shared" ref="H72:H103" si="10">((E72-C72)/C72)*100</f>
        <v>-32.4992493780561</v>
      </c>
      <c r="J72">
        <f t="shared" ref="J72:J103" si="11">C68+(C71-C70)+(C70-C69)+(C69-C68)</f>
        <v>28768</v>
      </c>
    </row>
    <row r="73" spans="1:10">
      <c r="A73">
        <v>2015</v>
      </c>
      <c r="B73" t="s">
        <v>25</v>
      </c>
      <c r="C73">
        <v>37392</v>
      </c>
      <c r="E73">
        <f t="shared" si="8"/>
        <v>40411.25</v>
      </c>
      <c r="G73">
        <f t="shared" si="9"/>
        <v>9115870.5625</v>
      </c>
      <c r="H73">
        <f t="shared" si="10"/>
        <v>8.07458814719726</v>
      </c>
      <c r="J73">
        <f t="shared" si="11"/>
        <v>46628</v>
      </c>
    </row>
    <row r="74" spans="1:10">
      <c r="A74">
        <v>2015</v>
      </c>
      <c r="B74" t="s">
        <v>26</v>
      </c>
      <c r="C74">
        <v>26124</v>
      </c>
      <c r="E74">
        <f t="shared" si="8"/>
        <v>38183.25</v>
      </c>
      <c r="G74">
        <f t="shared" si="9"/>
        <v>145425510.5625</v>
      </c>
      <c r="H74">
        <f t="shared" si="10"/>
        <v>46.161575562701</v>
      </c>
      <c r="J74">
        <f t="shared" si="11"/>
        <v>37392</v>
      </c>
    </row>
    <row r="75" spans="1:10">
      <c r="A75">
        <v>2016</v>
      </c>
      <c r="B75" t="s">
        <v>10</v>
      </c>
      <c r="C75">
        <v>39452</v>
      </c>
      <c r="E75">
        <f t="shared" si="8"/>
        <v>34728</v>
      </c>
      <c r="G75">
        <f t="shared" si="9"/>
        <v>22316176</v>
      </c>
      <c r="H75">
        <f t="shared" si="10"/>
        <v>-11.974044408395</v>
      </c>
      <c r="J75">
        <f t="shared" si="11"/>
        <v>26124</v>
      </c>
    </row>
    <row r="76" spans="1:10">
      <c r="A76">
        <v>2016</v>
      </c>
      <c r="B76" t="s">
        <v>12</v>
      </c>
      <c r="C76">
        <v>45991</v>
      </c>
      <c r="E76">
        <f t="shared" si="8"/>
        <v>37399</v>
      </c>
      <c r="G76">
        <f t="shared" si="9"/>
        <v>73822464</v>
      </c>
      <c r="H76">
        <f t="shared" si="10"/>
        <v>-18.6819160270488</v>
      </c>
      <c r="J76">
        <f t="shared" si="11"/>
        <v>39452</v>
      </c>
    </row>
    <row r="77" spans="1:10">
      <c r="A77">
        <v>2016</v>
      </c>
      <c r="B77" t="s">
        <v>14</v>
      </c>
      <c r="C77">
        <v>27418</v>
      </c>
      <c r="E77">
        <f t="shared" si="8"/>
        <v>37239.75</v>
      </c>
      <c r="G77">
        <f t="shared" si="9"/>
        <v>96466773.0625</v>
      </c>
      <c r="H77">
        <f t="shared" si="10"/>
        <v>35.8222700415785</v>
      </c>
      <c r="J77">
        <f t="shared" si="11"/>
        <v>45991</v>
      </c>
    </row>
    <row r="78" spans="1:10">
      <c r="A78">
        <v>2016</v>
      </c>
      <c r="B78" t="s">
        <v>16</v>
      </c>
      <c r="C78">
        <v>9927</v>
      </c>
      <c r="E78">
        <f t="shared" si="8"/>
        <v>34746.25</v>
      </c>
      <c r="G78">
        <f t="shared" si="9"/>
        <v>615995170.5625</v>
      </c>
      <c r="H78">
        <f t="shared" si="10"/>
        <v>250.017628689433</v>
      </c>
      <c r="J78">
        <f t="shared" si="11"/>
        <v>27418</v>
      </c>
    </row>
    <row r="79" spans="1:10">
      <c r="A79">
        <v>2016</v>
      </c>
      <c r="B79" t="s">
        <v>18</v>
      </c>
      <c r="C79">
        <v>14499</v>
      </c>
      <c r="E79">
        <f t="shared" si="8"/>
        <v>30697</v>
      </c>
      <c r="G79">
        <f t="shared" si="9"/>
        <v>262375204</v>
      </c>
      <c r="H79">
        <f t="shared" si="10"/>
        <v>111.718049520657</v>
      </c>
      <c r="J79">
        <f t="shared" si="11"/>
        <v>9927</v>
      </c>
    </row>
    <row r="80" spans="1:10">
      <c r="A80">
        <v>2016</v>
      </c>
      <c r="B80" t="s">
        <v>20</v>
      </c>
      <c r="C80">
        <v>57604</v>
      </c>
      <c r="E80">
        <f t="shared" si="8"/>
        <v>24458.75</v>
      </c>
      <c r="G80">
        <f t="shared" si="9"/>
        <v>1098607597.5625</v>
      </c>
      <c r="H80">
        <f t="shared" si="10"/>
        <v>-57.5398409832651</v>
      </c>
      <c r="J80">
        <f t="shared" si="11"/>
        <v>14499</v>
      </c>
    </row>
    <row r="81" spans="1:10">
      <c r="A81">
        <v>2016</v>
      </c>
      <c r="B81" t="s">
        <v>21</v>
      </c>
      <c r="C81">
        <v>58046</v>
      </c>
      <c r="E81">
        <f t="shared" si="8"/>
        <v>27362</v>
      </c>
      <c r="G81">
        <f t="shared" si="9"/>
        <v>941507856</v>
      </c>
      <c r="H81">
        <f t="shared" si="10"/>
        <v>-52.8615236191986</v>
      </c>
      <c r="J81">
        <f t="shared" si="11"/>
        <v>57604</v>
      </c>
    </row>
    <row r="82" spans="1:10">
      <c r="A82">
        <v>2016</v>
      </c>
      <c r="B82" t="s">
        <v>22</v>
      </c>
      <c r="C82">
        <v>42741</v>
      </c>
      <c r="E82">
        <f t="shared" si="8"/>
        <v>35019</v>
      </c>
      <c r="G82">
        <f t="shared" si="9"/>
        <v>59629284</v>
      </c>
      <c r="H82">
        <f t="shared" si="10"/>
        <v>-18.0669614655717</v>
      </c>
      <c r="J82">
        <f t="shared" si="11"/>
        <v>58046</v>
      </c>
    </row>
    <row r="83" spans="1:10">
      <c r="A83">
        <v>2016</v>
      </c>
      <c r="B83" t="s">
        <v>23</v>
      </c>
      <c r="C83">
        <v>10234</v>
      </c>
      <c r="E83">
        <f t="shared" si="8"/>
        <v>43222.5</v>
      </c>
      <c r="G83">
        <f t="shared" si="9"/>
        <v>1088241132.25</v>
      </c>
      <c r="H83">
        <f t="shared" si="10"/>
        <v>322.34219269103</v>
      </c>
      <c r="J83">
        <f t="shared" si="11"/>
        <v>42741</v>
      </c>
    </row>
    <row r="84" spans="1:10">
      <c r="A84">
        <v>2016</v>
      </c>
      <c r="B84" t="s">
        <v>24</v>
      </c>
      <c r="C84">
        <v>43145</v>
      </c>
      <c r="E84">
        <f t="shared" si="8"/>
        <v>42156.25</v>
      </c>
      <c r="G84">
        <f t="shared" si="9"/>
        <v>977626.5625</v>
      </c>
      <c r="H84">
        <f t="shared" si="10"/>
        <v>-2.2916908100591</v>
      </c>
      <c r="J84">
        <f t="shared" si="11"/>
        <v>10234</v>
      </c>
    </row>
    <row r="85" spans="1:10">
      <c r="A85">
        <v>2016</v>
      </c>
      <c r="B85" t="s">
        <v>25</v>
      </c>
      <c r="C85">
        <v>22755</v>
      </c>
      <c r="E85">
        <f t="shared" si="8"/>
        <v>38541.5</v>
      </c>
      <c r="G85">
        <f t="shared" si="9"/>
        <v>249213582.25</v>
      </c>
      <c r="H85">
        <f t="shared" si="10"/>
        <v>69.3759613271808</v>
      </c>
      <c r="J85">
        <f t="shared" si="11"/>
        <v>43145</v>
      </c>
    </row>
    <row r="86" spans="1:10">
      <c r="A86">
        <v>2016</v>
      </c>
      <c r="B86" t="s">
        <v>26</v>
      </c>
      <c r="C86">
        <v>50354</v>
      </c>
      <c r="E86">
        <f t="shared" si="8"/>
        <v>29718.75</v>
      </c>
      <c r="G86">
        <f t="shared" si="9"/>
        <v>425813542.5625</v>
      </c>
      <c r="H86">
        <f t="shared" si="10"/>
        <v>-40.9803590578703</v>
      </c>
      <c r="J86">
        <f t="shared" si="11"/>
        <v>22755</v>
      </c>
    </row>
    <row r="87" spans="1:10">
      <c r="A87">
        <v>2017</v>
      </c>
      <c r="B87" t="s">
        <v>10</v>
      </c>
      <c r="C87">
        <v>11874</v>
      </c>
      <c r="E87">
        <f t="shared" si="8"/>
        <v>31622</v>
      </c>
      <c r="G87">
        <f t="shared" si="9"/>
        <v>389983504</v>
      </c>
      <c r="H87">
        <f t="shared" si="10"/>
        <v>166.312952669698</v>
      </c>
      <c r="J87">
        <f t="shared" si="11"/>
        <v>50354</v>
      </c>
    </row>
    <row r="88" spans="1:10">
      <c r="A88">
        <v>2017</v>
      </c>
      <c r="B88" t="s">
        <v>12</v>
      </c>
      <c r="C88">
        <v>45383</v>
      </c>
      <c r="E88">
        <f t="shared" si="8"/>
        <v>32032</v>
      </c>
      <c r="G88">
        <f t="shared" si="9"/>
        <v>178249201</v>
      </c>
      <c r="H88">
        <f t="shared" si="10"/>
        <v>-29.4185047264394</v>
      </c>
      <c r="J88">
        <f t="shared" si="11"/>
        <v>11874</v>
      </c>
    </row>
    <row r="89" spans="1:10">
      <c r="A89">
        <v>2017</v>
      </c>
      <c r="B89" t="s">
        <v>14</v>
      </c>
      <c r="C89">
        <v>51339</v>
      </c>
      <c r="E89">
        <f t="shared" si="8"/>
        <v>32591.5</v>
      </c>
      <c r="G89">
        <f t="shared" si="9"/>
        <v>351468756.25</v>
      </c>
      <c r="H89">
        <f t="shared" si="10"/>
        <v>-36.517072790666</v>
      </c>
      <c r="J89">
        <f t="shared" si="11"/>
        <v>45383</v>
      </c>
    </row>
    <row r="90" spans="1:10">
      <c r="A90">
        <v>2017</v>
      </c>
      <c r="B90" t="s">
        <v>16</v>
      </c>
      <c r="C90">
        <v>45511</v>
      </c>
      <c r="E90">
        <f t="shared" si="8"/>
        <v>39737.5</v>
      </c>
      <c r="G90">
        <f t="shared" si="9"/>
        <v>33333302.25</v>
      </c>
      <c r="H90">
        <f t="shared" si="10"/>
        <v>-12.6859440574806</v>
      </c>
      <c r="J90">
        <f t="shared" si="11"/>
        <v>51339</v>
      </c>
    </row>
    <row r="91" spans="1:10">
      <c r="A91">
        <v>2017</v>
      </c>
      <c r="B91" t="s">
        <v>18</v>
      </c>
      <c r="C91">
        <v>53771</v>
      </c>
      <c r="E91">
        <f t="shared" si="8"/>
        <v>38526.75</v>
      </c>
      <c r="G91">
        <f t="shared" si="9"/>
        <v>232387158.0625</v>
      </c>
      <c r="H91">
        <f t="shared" si="10"/>
        <v>-28.3503189451563</v>
      </c>
      <c r="J91">
        <f t="shared" si="11"/>
        <v>45511</v>
      </c>
    </row>
    <row r="92" spans="1:10">
      <c r="A92">
        <v>2017</v>
      </c>
      <c r="B92" t="s">
        <v>20</v>
      </c>
      <c r="C92">
        <v>20017</v>
      </c>
      <c r="E92">
        <f t="shared" si="8"/>
        <v>49001</v>
      </c>
      <c r="G92">
        <f t="shared" si="9"/>
        <v>840072256</v>
      </c>
      <c r="H92">
        <f t="shared" si="10"/>
        <v>144.796922615777</v>
      </c>
      <c r="J92">
        <f t="shared" si="11"/>
        <v>53771</v>
      </c>
    </row>
    <row r="93" spans="1:10">
      <c r="A93">
        <v>2017</v>
      </c>
      <c r="B93" t="s">
        <v>21</v>
      </c>
      <c r="C93">
        <v>49584</v>
      </c>
      <c r="E93">
        <f t="shared" si="8"/>
        <v>42659.5</v>
      </c>
      <c r="G93">
        <f t="shared" si="9"/>
        <v>47948700.25</v>
      </c>
      <c r="H93">
        <f t="shared" si="10"/>
        <v>-13.9651903839948</v>
      </c>
      <c r="J93">
        <f t="shared" si="11"/>
        <v>20017</v>
      </c>
    </row>
    <row r="94" spans="1:10">
      <c r="A94">
        <v>2017</v>
      </c>
      <c r="B94" t="s">
        <v>22</v>
      </c>
      <c r="C94">
        <v>42180</v>
      </c>
      <c r="E94">
        <f t="shared" si="8"/>
        <v>42220.75</v>
      </c>
      <c r="G94">
        <f t="shared" si="9"/>
        <v>1660.5625</v>
      </c>
      <c r="H94">
        <f t="shared" si="10"/>
        <v>0.0966097676623992</v>
      </c>
      <c r="J94">
        <f t="shared" si="11"/>
        <v>49584</v>
      </c>
    </row>
    <row r="95" spans="1:10">
      <c r="A95">
        <v>2017</v>
      </c>
      <c r="B95" t="s">
        <v>23</v>
      </c>
      <c r="C95">
        <v>45705</v>
      </c>
      <c r="E95">
        <f t="shared" si="8"/>
        <v>41388</v>
      </c>
      <c r="G95">
        <f t="shared" si="9"/>
        <v>18636489</v>
      </c>
      <c r="H95">
        <f t="shared" si="10"/>
        <v>-9.44535608795537</v>
      </c>
      <c r="J95">
        <f t="shared" si="11"/>
        <v>42180</v>
      </c>
    </row>
    <row r="96" spans="1:10">
      <c r="A96">
        <v>2017</v>
      </c>
      <c r="B96" t="s">
        <v>24</v>
      </c>
      <c r="C96">
        <v>11899</v>
      </c>
      <c r="E96">
        <f t="shared" si="8"/>
        <v>39371.5</v>
      </c>
      <c r="G96">
        <f t="shared" si="9"/>
        <v>754738256.25</v>
      </c>
      <c r="H96">
        <f t="shared" si="10"/>
        <v>230.8807462812</v>
      </c>
      <c r="J96">
        <f t="shared" si="11"/>
        <v>45705</v>
      </c>
    </row>
    <row r="97" spans="1:10">
      <c r="A97">
        <v>2017</v>
      </c>
      <c r="B97" t="s">
        <v>25</v>
      </c>
      <c r="C97">
        <v>44601</v>
      </c>
      <c r="E97">
        <f t="shared" si="8"/>
        <v>37342</v>
      </c>
      <c r="G97">
        <f t="shared" si="9"/>
        <v>52693081</v>
      </c>
      <c r="H97">
        <f t="shared" si="10"/>
        <v>-16.275419833636</v>
      </c>
      <c r="J97">
        <f t="shared" si="11"/>
        <v>11899</v>
      </c>
    </row>
    <row r="98" spans="1:10">
      <c r="A98">
        <v>2017</v>
      </c>
      <c r="B98" t="s">
        <v>26</v>
      </c>
      <c r="C98">
        <v>26784</v>
      </c>
      <c r="E98">
        <f t="shared" si="8"/>
        <v>36096.25</v>
      </c>
      <c r="G98">
        <f t="shared" si="9"/>
        <v>86718000.0625</v>
      </c>
      <c r="H98">
        <f t="shared" si="10"/>
        <v>34.7679584826762</v>
      </c>
      <c r="J98">
        <f t="shared" si="11"/>
        <v>44601</v>
      </c>
    </row>
    <row r="99" spans="1:10">
      <c r="A99">
        <v>2018</v>
      </c>
      <c r="B99" t="s">
        <v>10</v>
      </c>
      <c r="C99">
        <v>25764</v>
      </c>
      <c r="E99">
        <f t="shared" si="8"/>
        <v>32247.25</v>
      </c>
      <c r="G99">
        <f t="shared" si="9"/>
        <v>42032530.5625</v>
      </c>
      <c r="H99">
        <f t="shared" si="10"/>
        <v>25.1639885111008</v>
      </c>
      <c r="J99">
        <f t="shared" si="11"/>
        <v>26784</v>
      </c>
    </row>
    <row r="100" spans="1:10">
      <c r="A100">
        <v>2018</v>
      </c>
      <c r="B100" t="s">
        <v>12</v>
      </c>
      <c r="C100">
        <v>30540</v>
      </c>
      <c r="E100">
        <f t="shared" si="8"/>
        <v>27262</v>
      </c>
      <c r="G100">
        <f t="shared" si="9"/>
        <v>10745284</v>
      </c>
      <c r="H100">
        <f t="shared" si="10"/>
        <v>-10.7334643091028</v>
      </c>
      <c r="J100">
        <f t="shared" si="11"/>
        <v>25764</v>
      </c>
    </row>
    <row r="101" spans="1:10">
      <c r="A101">
        <v>2018</v>
      </c>
      <c r="B101" t="s">
        <v>14</v>
      </c>
      <c r="C101">
        <v>42130</v>
      </c>
      <c r="E101">
        <f t="shared" si="8"/>
        <v>31922.25</v>
      </c>
      <c r="G101">
        <f t="shared" si="9"/>
        <v>104198160.0625</v>
      </c>
      <c r="H101">
        <f t="shared" si="10"/>
        <v>-24.2291716116781</v>
      </c>
      <c r="J101">
        <f t="shared" si="11"/>
        <v>30540</v>
      </c>
    </row>
    <row r="102" spans="1:10">
      <c r="A102">
        <v>2018</v>
      </c>
      <c r="B102" t="s">
        <v>16</v>
      </c>
      <c r="C102">
        <v>22342</v>
      </c>
      <c r="E102">
        <f t="shared" si="8"/>
        <v>31304.5</v>
      </c>
      <c r="G102">
        <f t="shared" si="9"/>
        <v>80326406.25</v>
      </c>
      <c r="H102">
        <f t="shared" si="10"/>
        <v>40.1150299883627</v>
      </c>
      <c r="J102">
        <f t="shared" si="11"/>
        <v>42130</v>
      </c>
    </row>
    <row r="103" spans="1:10">
      <c r="A103">
        <v>2018</v>
      </c>
      <c r="B103" t="s">
        <v>18</v>
      </c>
      <c r="C103">
        <v>31679</v>
      </c>
      <c r="E103">
        <f t="shared" si="8"/>
        <v>30194</v>
      </c>
      <c r="G103">
        <f t="shared" si="9"/>
        <v>2205225</v>
      </c>
      <c r="H103">
        <f t="shared" si="10"/>
        <v>-4.68764796868588</v>
      </c>
      <c r="J103">
        <f t="shared" si="11"/>
        <v>22342</v>
      </c>
    </row>
    <row r="104" spans="1:10">
      <c r="A104">
        <v>2018</v>
      </c>
      <c r="B104" t="s">
        <v>20</v>
      </c>
      <c r="C104">
        <v>15520</v>
      </c>
      <c r="E104">
        <f t="shared" ref="E104:E135" si="12">AVERAGE(C100:C103)</f>
        <v>31672.75</v>
      </c>
      <c r="G104">
        <f t="shared" ref="G104:G135" si="13">(E104-C104)^2</f>
        <v>260911332.5625</v>
      </c>
      <c r="H104">
        <f t="shared" ref="H104:H135" si="14">((E104-C104)/C104)*100</f>
        <v>104.07699742268</v>
      </c>
      <c r="J104">
        <f t="shared" ref="J104:J135" si="15">C100+(C103-C102)+(C102-C101)+(C101-C100)</f>
        <v>31679</v>
      </c>
    </row>
    <row r="105" spans="1:10">
      <c r="A105">
        <v>2018</v>
      </c>
      <c r="B105" t="s">
        <v>21</v>
      </c>
      <c r="C105">
        <v>37312</v>
      </c>
      <c r="E105">
        <f t="shared" si="12"/>
        <v>27917.75</v>
      </c>
      <c r="G105">
        <f t="shared" si="13"/>
        <v>88251933.0625</v>
      </c>
      <c r="H105">
        <f t="shared" si="14"/>
        <v>-25.1775568181818</v>
      </c>
      <c r="J105">
        <f t="shared" si="15"/>
        <v>15520</v>
      </c>
    </row>
    <row r="106" spans="1:10">
      <c r="A106">
        <v>2018</v>
      </c>
      <c r="B106" t="s">
        <v>22</v>
      </c>
      <c r="C106">
        <v>30423</v>
      </c>
      <c r="E106">
        <f t="shared" si="12"/>
        <v>26713.25</v>
      </c>
      <c r="G106">
        <f t="shared" si="13"/>
        <v>13762245.0625</v>
      </c>
      <c r="H106">
        <f t="shared" si="14"/>
        <v>-12.1938993524636</v>
      </c>
      <c r="J106">
        <f t="shared" si="15"/>
        <v>37312</v>
      </c>
    </row>
    <row r="107" spans="1:10">
      <c r="A107">
        <v>2018</v>
      </c>
      <c r="B107" t="s">
        <v>23</v>
      </c>
      <c r="C107">
        <v>14149</v>
      </c>
      <c r="E107">
        <f t="shared" si="12"/>
        <v>28733.5</v>
      </c>
      <c r="G107">
        <f t="shared" si="13"/>
        <v>212707640.25</v>
      </c>
      <c r="H107">
        <f t="shared" si="14"/>
        <v>103.077956039296</v>
      </c>
      <c r="J107">
        <f t="shared" si="15"/>
        <v>30423</v>
      </c>
    </row>
    <row r="108" spans="1:10">
      <c r="A108">
        <v>2018</v>
      </c>
      <c r="B108" t="s">
        <v>24</v>
      </c>
      <c r="C108">
        <v>54033</v>
      </c>
      <c r="E108">
        <f t="shared" si="12"/>
        <v>24351</v>
      </c>
      <c r="G108">
        <f t="shared" si="13"/>
        <v>881021124</v>
      </c>
      <c r="H108">
        <f t="shared" si="14"/>
        <v>-54.9330964410638</v>
      </c>
      <c r="J108">
        <f t="shared" si="15"/>
        <v>14149</v>
      </c>
    </row>
    <row r="109" spans="1:10">
      <c r="A109">
        <v>2018</v>
      </c>
      <c r="B109" t="s">
        <v>25</v>
      </c>
      <c r="C109">
        <v>29710</v>
      </c>
      <c r="E109">
        <f t="shared" si="12"/>
        <v>33979.25</v>
      </c>
      <c r="G109">
        <f t="shared" si="13"/>
        <v>18226495.5625</v>
      </c>
      <c r="H109">
        <f t="shared" si="14"/>
        <v>14.369740828004</v>
      </c>
      <c r="J109">
        <f t="shared" si="15"/>
        <v>54033</v>
      </c>
    </row>
    <row r="110" spans="1:10">
      <c r="A110">
        <v>2018</v>
      </c>
      <c r="B110" t="s">
        <v>26</v>
      </c>
      <c r="C110">
        <v>36678</v>
      </c>
      <c r="E110">
        <f t="shared" si="12"/>
        <v>32078.75</v>
      </c>
      <c r="G110">
        <f t="shared" si="13"/>
        <v>21153100.5625</v>
      </c>
      <c r="H110">
        <f t="shared" si="14"/>
        <v>-12.5395332351819</v>
      </c>
      <c r="J110">
        <f t="shared" si="15"/>
        <v>29710</v>
      </c>
    </row>
    <row r="111" spans="1:10">
      <c r="A111">
        <v>2019</v>
      </c>
      <c r="B111" t="s">
        <v>10</v>
      </c>
      <c r="C111">
        <v>32882</v>
      </c>
      <c r="E111">
        <f t="shared" si="12"/>
        <v>33642.5</v>
      </c>
      <c r="G111">
        <f t="shared" si="13"/>
        <v>578360.25</v>
      </c>
      <c r="H111">
        <f t="shared" si="14"/>
        <v>2.31281552217018</v>
      </c>
      <c r="J111">
        <f t="shared" si="15"/>
        <v>36678</v>
      </c>
    </row>
    <row r="112" spans="1:10">
      <c r="A112">
        <v>2019</v>
      </c>
      <c r="B112" t="s">
        <v>12</v>
      </c>
      <c r="C112">
        <v>18039</v>
      </c>
      <c r="E112">
        <f t="shared" si="12"/>
        <v>38325.75</v>
      </c>
      <c r="G112">
        <f t="shared" si="13"/>
        <v>411552225.5625</v>
      </c>
      <c r="H112">
        <f t="shared" si="14"/>
        <v>112.460502245136</v>
      </c>
      <c r="J112">
        <f t="shared" si="15"/>
        <v>32882</v>
      </c>
    </row>
    <row r="113" spans="1:10">
      <c r="A113">
        <v>2019</v>
      </c>
      <c r="B113" t="s">
        <v>14</v>
      </c>
      <c r="C113">
        <v>38275</v>
      </c>
      <c r="E113">
        <f t="shared" si="12"/>
        <v>29327.25</v>
      </c>
      <c r="G113">
        <f t="shared" si="13"/>
        <v>80062230.0625</v>
      </c>
      <c r="H113">
        <f t="shared" si="14"/>
        <v>-23.3775310254735</v>
      </c>
      <c r="J113">
        <f t="shared" si="15"/>
        <v>18039</v>
      </c>
    </row>
    <row r="114" spans="1:10">
      <c r="A114">
        <v>2019</v>
      </c>
      <c r="B114" t="s">
        <v>16</v>
      </c>
      <c r="C114">
        <v>42345</v>
      </c>
      <c r="E114">
        <f t="shared" si="12"/>
        <v>31468.5</v>
      </c>
      <c r="G114">
        <f t="shared" si="13"/>
        <v>118298252.25</v>
      </c>
      <c r="H114">
        <f t="shared" si="14"/>
        <v>-25.6854410201913</v>
      </c>
      <c r="J114">
        <f t="shared" si="15"/>
        <v>38275</v>
      </c>
    </row>
    <row r="115" spans="1:10">
      <c r="A115">
        <v>2019</v>
      </c>
      <c r="B115" t="s">
        <v>18</v>
      </c>
      <c r="C115">
        <v>22146</v>
      </c>
      <c r="E115">
        <f t="shared" si="12"/>
        <v>32885.25</v>
      </c>
      <c r="G115">
        <f t="shared" si="13"/>
        <v>115331490.5625</v>
      </c>
      <c r="H115">
        <f t="shared" si="14"/>
        <v>48.4929558385262</v>
      </c>
      <c r="J115">
        <f t="shared" si="15"/>
        <v>42345</v>
      </c>
    </row>
    <row r="116" spans="1:10">
      <c r="A116">
        <v>2019</v>
      </c>
      <c r="B116" t="s">
        <v>20</v>
      </c>
      <c r="C116">
        <v>23786</v>
      </c>
      <c r="E116">
        <f t="shared" si="12"/>
        <v>30201.25</v>
      </c>
      <c r="G116">
        <f t="shared" si="13"/>
        <v>41155432.5625</v>
      </c>
      <c r="H116">
        <f t="shared" si="14"/>
        <v>26.9706970486841</v>
      </c>
      <c r="J116">
        <f t="shared" si="15"/>
        <v>22146</v>
      </c>
    </row>
    <row r="117" spans="1:10">
      <c r="A117">
        <v>2019</v>
      </c>
      <c r="B117" t="s">
        <v>21</v>
      </c>
      <c r="C117">
        <v>55252</v>
      </c>
      <c r="E117">
        <f t="shared" si="12"/>
        <v>31638</v>
      </c>
      <c r="G117">
        <f t="shared" si="13"/>
        <v>557620996</v>
      </c>
      <c r="H117">
        <f t="shared" si="14"/>
        <v>-42.7387243900673</v>
      </c>
      <c r="J117">
        <f t="shared" si="15"/>
        <v>23786</v>
      </c>
    </row>
    <row r="118" spans="1:10">
      <c r="A118">
        <v>2019</v>
      </c>
      <c r="B118" t="s">
        <v>22</v>
      </c>
      <c r="C118">
        <v>55713</v>
      </c>
      <c r="E118">
        <f t="shared" si="12"/>
        <v>35882.25</v>
      </c>
      <c r="G118">
        <f t="shared" si="13"/>
        <v>393258645.5625</v>
      </c>
      <c r="H118">
        <f t="shared" si="14"/>
        <v>-35.5944752571213</v>
      </c>
      <c r="J118">
        <f t="shared" si="15"/>
        <v>55252</v>
      </c>
    </row>
    <row r="119" spans="1:10">
      <c r="A119">
        <v>2019</v>
      </c>
      <c r="B119" t="s">
        <v>23</v>
      </c>
      <c r="C119">
        <v>18610</v>
      </c>
      <c r="E119">
        <f t="shared" si="12"/>
        <v>39224.25</v>
      </c>
      <c r="G119">
        <f t="shared" si="13"/>
        <v>424947303.0625</v>
      </c>
      <c r="H119">
        <f t="shared" si="14"/>
        <v>110.769747447609</v>
      </c>
      <c r="J119">
        <f t="shared" si="15"/>
        <v>55713</v>
      </c>
    </row>
    <row r="120" spans="1:10">
      <c r="A120">
        <v>2019</v>
      </c>
      <c r="B120" t="s">
        <v>24</v>
      </c>
      <c r="C120">
        <v>28609</v>
      </c>
      <c r="E120">
        <f t="shared" si="12"/>
        <v>38340.25</v>
      </c>
      <c r="G120">
        <f t="shared" si="13"/>
        <v>94697226.5625</v>
      </c>
      <c r="H120">
        <f t="shared" si="14"/>
        <v>34.0146457408508</v>
      </c>
      <c r="J120">
        <f t="shared" si="15"/>
        <v>18610</v>
      </c>
    </row>
    <row r="121" spans="1:10">
      <c r="A121">
        <v>2019</v>
      </c>
      <c r="B121" t="s">
        <v>25</v>
      </c>
      <c r="C121">
        <v>21099</v>
      </c>
      <c r="E121">
        <f t="shared" si="12"/>
        <v>39546</v>
      </c>
      <c r="G121">
        <f t="shared" si="13"/>
        <v>340291809</v>
      </c>
      <c r="H121">
        <f t="shared" si="14"/>
        <v>87.4306839186691</v>
      </c>
      <c r="J121">
        <f t="shared" si="15"/>
        <v>28609</v>
      </c>
    </row>
    <row r="122" spans="1:10">
      <c r="A122">
        <v>2019</v>
      </c>
      <c r="B122" t="s">
        <v>26</v>
      </c>
      <c r="C122">
        <v>38362</v>
      </c>
      <c r="E122">
        <f t="shared" si="12"/>
        <v>31007.75</v>
      </c>
      <c r="G122">
        <f t="shared" si="13"/>
        <v>54084993.0625</v>
      </c>
      <c r="H122">
        <f t="shared" si="14"/>
        <v>-19.1706636775976</v>
      </c>
      <c r="J122">
        <f t="shared" si="15"/>
        <v>21099</v>
      </c>
    </row>
    <row r="123" spans="1:10">
      <c r="A123">
        <v>2020</v>
      </c>
      <c r="B123" t="s">
        <v>10</v>
      </c>
      <c r="C123">
        <v>49756</v>
      </c>
      <c r="E123">
        <f t="shared" si="12"/>
        <v>26670</v>
      </c>
      <c r="G123">
        <f t="shared" si="13"/>
        <v>532963396</v>
      </c>
      <c r="H123">
        <f t="shared" si="14"/>
        <v>-46.3984243106359</v>
      </c>
      <c r="J123">
        <f t="shared" si="15"/>
        <v>38362</v>
      </c>
    </row>
    <row r="124" spans="1:10">
      <c r="A124">
        <v>2020</v>
      </c>
      <c r="B124" t="s">
        <v>12</v>
      </c>
      <c r="C124">
        <v>52757</v>
      </c>
      <c r="E124">
        <f t="shared" si="12"/>
        <v>34456.5</v>
      </c>
      <c r="G124">
        <f t="shared" si="13"/>
        <v>334908300.25</v>
      </c>
      <c r="H124">
        <f t="shared" si="14"/>
        <v>-34.6882878101484</v>
      </c>
      <c r="J124">
        <f t="shared" si="15"/>
        <v>49756</v>
      </c>
    </row>
    <row r="125" spans="1:10">
      <c r="A125">
        <v>2020</v>
      </c>
      <c r="B125" t="s">
        <v>14</v>
      </c>
      <c r="C125">
        <v>47351</v>
      </c>
      <c r="E125">
        <f t="shared" si="12"/>
        <v>40493.5</v>
      </c>
      <c r="G125">
        <f t="shared" si="13"/>
        <v>47025306.25</v>
      </c>
      <c r="H125">
        <f t="shared" si="14"/>
        <v>-14.4822707017803</v>
      </c>
      <c r="J125">
        <f t="shared" si="15"/>
        <v>52757</v>
      </c>
    </row>
    <row r="126" spans="1:10">
      <c r="A126">
        <v>2020</v>
      </c>
      <c r="B126" t="s">
        <v>16</v>
      </c>
      <c r="C126">
        <v>55284</v>
      </c>
      <c r="E126">
        <f t="shared" si="12"/>
        <v>47056.5</v>
      </c>
      <c r="G126">
        <f t="shared" si="13"/>
        <v>67691756.25</v>
      </c>
      <c r="H126">
        <f t="shared" si="14"/>
        <v>-14.8822444106794</v>
      </c>
      <c r="J126">
        <f t="shared" si="15"/>
        <v>47351</v>
      </c>
    </row>
    <row r="127" spans="1:10">
      <c r="A127">
        <v>2020</v>
      </c>
      <c r="B127" t="s">
        <v>18</v>
      </c>
      <c r="C127">
        <v>49642</v>
      </c>
      <c r="E127">
        <f t="shared" si="12"/>
        <v>51287</v>
      </c>
      <c r="G127">
        <f t="shared" si="13"/>
        <v>2706025</v>
      </c>
      <c r="H127">
        <f t="shared" si="14"/>
        <v>3.31372628016599</v>
      </c>
      <c r="J127">
        <f t="shared" si="15"/>
        <v>55284</v>
      </c>
    </row>
    <row r="128" spans="1:10">
      <c r="A128">
        <v>2020</v>
      </c>
      <c r="B128" t="s">
        <v>20</v>
      </c>
      <c r="C128">
        <v>29658</v>
      </c>
      <c r="E128">
        <f t="shared" si="12"/>
        <v>51258.5</v>
      </c>
      <c r="G128">
        <f t="shared" si="13"/>
        <v>466581600.25</v>
      </c>
      <c r="H128">
        <f t="shared" si="14"/>
        <v>72.8319509070065</v>
      </c>
      <c r="J128">
        <f t="shared" si="15"/>
        <v>49642</v>
      </c>
    </row>
    <row r="129" spans="1:10">
      <c r="A129">
        <v>2020</v>
      </c>
      <c r="B129" t="s">
        <v>21</v>
      </c>
      <c r="C129">
        <v>54452</v>
      </c>
      <c r="E129">
        <f t="shared" si="12"/>
        <v>45483.75</v>
      </c>
      <c r="G129">
        <f t="shared" si="13"/>
        <v>80429508.0625</v>
      </c>
      <c r="H129">
        <f t="shared" si="14"/>
        <v>-16.4700102842871</v>
      </c>
      <c r="J129">
        <f t="shared" si="15"/>
        <v>29658</v>
      </c>
    </row>
    <row r="130" spans="1:10">
      <c r="A130">
        <v>2020</v>
      </c>
      <c r="B130" t="s">
        <v>22</v>
      </c>
      <c r="C130">
        <v>12497</v>
      </c>
      <c r="E130">
        <f t="shared" si="12"/>
        <v>47259</v>
      </c>
      <c r="G130">
        <f t="shared" si="13"/>
        <v>1208396644</v>
      </c>
      <c r="H130">
        <f t="shared" si="14"/>
        <v>278.162759062175</v>
      </c>
      <c r="J130">
        <f t="shared" si="15"/>
        <v>54452</v>
      </c>
    </row>
    <row r="131" spans="1:10">
      <c r="A131">
        <v>2020</v>
      </c>
      <c r="B131" t="s">
        <v>23</v>
      </c>
      <c r="C131">
        <v>31579</v>
      </c>
      <c r="E131">
        <f t="shared" si="12"/>
        <v>36562.25</v>
      </c>
      <c r="G131">
        <f t="shared" si="13"/>
        <v>24832780.5625</v>
      </c>
      <c r="H131">
        <f t="shared" si="14"/>
        <v>15.7802653662244</v>
      </c>
      <c r="J131">
        <f t="shared" si="15"/>
        <v>12497</v>
      </c>
    </row>
    <row r="132" spans="1:10">
      <c r="A132">
        <v>2020</v>
      </c>
      <c r="B132" t="s">
        <v>24</v>
      </c>
      <c r="C132">
        <v>41398</v>
      </c>
      <c r="E132">
        <f t="shared" si="12"/>
        <v>32046.5</v>
      </c>
      <c r="G132">
        <f t="shared" si="13"/>
        <v>87450552.25</v>
      </c>
      <c r="H132">
        <f t="shared" si="14"/>
        <v>-22.5892555195903</v>
      </c>
      <c r="J132">
        <f t="shared" si="15"/>
        <v>31579</v>
      </c>
    </row>
    <row r="133" spans="1:10">
      <c r="A133">
        <v>2020</v>
      </c>
      <c r="B133" t="s">
        <v>25</v>
      </c>
      <c r="C133">
        <v>29717</v>
      </c>
      <c r="E133">
        <f t="shared" si="12"/>
        <v>34981.5</v>
      </c>
      <c r="G133">
        <f t="shared" si="13"/>
        <v>27714960.25</v>
      </c>
      <c r="H133">
        <f t="shared" si="14"/>
        <v>17.7154490695561</v>
      </c>
      <c r="J133">
        <f t="shared" si="15"/>
        <v>41398</v>
      </c>
    </row>
    <row r="134" spans="1:10">
      <c r="A134">
        <v>2020</v>
      </c>
      <c r="B134" t="s">
        <v>26</v>
      </c>
      <c r="C134">
        <v>18703</v>
      </c>
      <c r="E134">
        <f t="shared" si="12"/>
        <v>28797.75</v>
      </c>
      <c r="G134">
        <f t="shared" si="13"/>
        <v>101903977.5625</v>
      </c>
      <c r="H134">
        <f t="shared" si="14"/>
        <v>53.9739613965674</v>
      </c>
      <c r="J134">
        <f t="shared" si="15"/>
        <v>29717</v>
      </c>
    </row>
    <row r="135" spans="1:10">
      <c r="A135">
        <v>2021</v>
      </c>
      <c r="B135" t="s">
        <v>10</v>
      </c>
      <c r="C135">
        <v>24007</v>
      </c>
      <c r="E135">
        <f t="shared" si="12"/>
        <v>30349.25</v>
      </c>
      <c r="G135">
        <f t="shared" si="13"/>
        <v>40224135.0625</v>
      </c>
      <c r="H135">
        <f t="shared" si="14"/>
        <v>26.4183363185737</v>
      </c>
      <c r="J135">
        <f t="shared" si="15"/>
        <v>18703</v>
      </c>
    </row>
    <row r="136" spans="1:10">
      <c r="A136">
        <v>2021</v>
      </c>
      <c r="B136" t="s">
        <v>12</v>
      </c>
      <c r="C136">
        <v>25655</v>
      </c>
      <c r="E136">
        <f t="shared" ref="E136:E167" si="16">AVERAGE(C132:C135)</f>
        <v>28456.25</v>
      </c>
      <c r="G136">
        <f t="shared" ref="G136:G167" si="17">(E136-C136)^2</f>
        <v>7847001.5625</v>
      </c>
      <c r="H136">
        <f t="shared" ref="H136:H167" si="18">((E136-C136)/C136)*100</f>
        <v>10.9189241863185</v>
      </c>
      <c r="J136">
        <f t="shared" ref="J136:J167" si="19">C132+(C135-C134)+(C134-C133)+(C133-C132)</f>
        <v>24007</v>
      </c>
    </row>
    <row r="137" spans="1:10">
      <c r="A137">
        <v>2021</v>
      </c>
      <c r="B137" t="s">
        <v>14</v>
      </c>
      <c r="C137">
        <v>43885</v>
      </c>
      <c r="E137">
        <f t="shared" si="16"/>
        <v>24520.5</v>
      </c>
      <c r="G137">
        <f t="shared" si="17"/>
        <v>374983860.25</v>
      </c>
      <c r="H137">
        <f t="shared" si="18"/>
        <v>-44.1255554289621</v>
      </c>
      <c r="J137">
        <f t="shared" si="19"/>
        <v>25655</v>
      </c>
    </row>
    <row r="138" spans="1:10">
      <c r="A138">
        <v>2021</v>
      </c>
      <c r="B138" t="s">
        <v>16</v>
      </c>
      <c r="C138">
        <v>29642</v>
      </c>
      <c r="E138">
        <f t="shared" si="16"/>
        <v>28062.5</v>
      </c>
      <c r="G138">
        <f t="shared" si="17"/>
        <v>2494820.25</v>
      </c>
      <c r="H138">
        <f t="shared" si="18"/>
        <v>-5.32858781458741</v>
      </c>
      <c r="J138">
        <f t="shared" si="19"/>
        <v>43885</v>
      </c>
    </row>
    <row r="139" spans="1:10">
      <c r="A139">
        <v>2021</v>
      </c>
      <c r="B139" t="s">
        <v>18</v>
      </c>
      <c r="C139">
        <v>48017</v>
      </c>
      <c r="E139">
        <f t="shared" si="16"/>
        <v>30797.25</v>
      </c>
      <c r="G139">
        <f t="shared" si="17"/>
        <v>296519790.0625</v>
      </c>
      <c r="H139">
        <f t="shared" si="18"/>
        <v>-35.8617781202491</v>
      </c>
      <c r="J139">
        <f t="shared" si="19"/>
        <v>29642</v>
      </c>
    </row>
    <row r="140" spans="1:10">
      <c r="A140">
        <v>2021</v>
      </c>
      <c r="B140" t="s">
        <v>20</v>
      </c>
      <c r="C140">
        <v>22203</v>
      </c>
      <c r="E140">
        <f t="shared" si="16"/>
        <v>36799.75</v>
      </c>
      <c r="G140">
        <f t="shared" si="17"/>
        <v>213065110.5625</v>
      </c>
      <c r="H140">
        <f t="shared" si="18"/>
        <v>65.7422420393641</v>
      </c>
      <c r="J140">
        <f t="shared" si="19"/>
        <v>48017</v>
      </c>
    </row>
    <row r="141" spans="1:10">
      <c r="A141">
        <v>2021</v>
      </c>
      <c r="B141" t="s">
        <v>21</v>
      </c>
      <c r="C141">
        <v>23080</v>
      </c>
      <c r="E141">
        <f t="shared" si="16"/>
        <v>35936.75</v>
      </c>
      <c r="G141">
        <f t="shared" si="17"/>
        <v>165296020.5625</v>
      </c>
      <c r="H141">
        <f t="shared" si="18"/>
        <v>55.7051559792028</v>
      </c>
      <c r="J141">
        <f t="shared" si="19"/>
        <v>22203</v>
      </c>
    </row>
    <row r="142" spans="1:10">
      <c r="A142">
        <v>2021</v>
      </c>
      <c r="B142" t="s">
        <v>22</v>
      </c>
      <c r="C142">
        <v>45899</v>
      </c>
      <c r="E142">
        <f t="shared" si="16"/>
        <v>30735.5</v>
      </c>
      <c r="G142">
        <f t="shared" si="17"/>
        <v>229931732.25</v>
      </c>
      <c r="H142">
        <f t="shared" si="18"/>
        <v>-33.0366674655221</v>
      </c>
      <c r="J142">
        <f t="shared" si="19"/>
        <v>23080</v>
      </c>
    </row>
    <row r="143" spans="1:10">
      <c r="A143">
        <v>2021</v>
      </c>
      <c r="B143" t="s">
        <v>23</v>
      </c>
      <c r="C143">
        <v>12656</v>
      </c>
      <c r="E143">
        <f t="shared" si="16"/>
        <v>34799.75</v>
      </c>
      <c r="G143">
        <f t="shared" si="17"/>
        <v>490345664.0625</v>
      </c>
      <c r="H143">
        <f t="shared" si="18"/>
        <v>174.96641908976</v>
      </c>
      <c r="J143">
        <f t="shared" si="19"/>
        <v>45899</v>
      </c>
    </row>
    <row r="144" spans="1:10">
      <c r="A144">
        <v>2021</v>
      </c>
      <c r="B144" t="s">
        <v>24</v>
      </c>
      <c r="C144">
        <v>49375</v>
      </c>
      <c r="E144">
        <f t="shared" si="16"/>
        <v>25959.5</v>
      </c>
      <c r="G144">
        <f t="shared" si="17"/>
        <v>548285640.25</v>
      </c>
      <c r="H144">
        <f t="shared" si="18"/>
        <v>-47.4237974683544</v>
      </c>
      <c r="J144">
        <f t="shared" si="19"/>
        <v>12656</v>
      </c>
    </row>
    <row r="145" spans="1:10">
      <c r="A145">
        <v>2021</v>
      </c>
      <c r="B145" t="s">
        <v>25</v>
      </c>
      <c r="C145">
        <v>26074</v>
      </c>
      <c r="E145">
        <f t="shared" si="16"/>
        <v>32752.5</v>
      </c>
      <c r="G145">
        <f t="shared" si="17"/>
        <v>44602362.25</v>
      </c>
      <c r="H145">
        <f t="shared" si="18"/>
        <v>25.6136381069264</v>
      </c>
      <c r="J145">
        <f t="shared" si="19"/>
        <v>49375</v>
      </c>
    </row>
    <row r="146" spans="1:10">
      <c r="A146">
        <v>2021</v>
      </c>
      <c r="B146" t="s">
        <v>26</v>
      </c>
      <c r="C146">
        <v>37340</v>
      </c>
      <c r="E146">
        <f t="shared" si="16"/>
        <v>33501</v>
      </c>
      <c r="G146">
        <f t="shared" si="17"/>
        <v>14737921</v>
      </c>
      <c r="H146">
        <f t="shared" si="18"/>
        <v>-10.2811997857525</v>
      </c>
      <c r="J146">
        <f t="shared" si="19"/>
        <v>26074</v>
      </c>
    </row>
    <row r="147" spans="1:10">
      <c r="A147">
        <v>2022</v>
      </c>
      <c r="B147" t="s">
        <v>10</v>
      </c>
      <c r="C147">
        <v>51508</v>
      </c>
      <c r="E147">
        <f t="shared" si="16"/>
        <v>31361.25</v>
      </c>
      <c r="G147">
        <f t="shared" si="17"/>
        <v>405891535.5625</v>
      </c>
      <c r="H147">
        <f t="shared" si="18"/>
        <v>-39.1138269783335</v>
      </c>
      <c r="J147">
        <f t="shared" si="19"/>
        <v>37340</v>
      </c>
    </row>
    <row r="148" spans="1:10">
      <c r="A148">
        <v>2022</v>
      </c>
      <c r="B148" t="s">
        <v>12</v>
      </c>
      <c r="C148">
        <v>30900</v>
      </c>
      <c r="E148">
        <f t="shared" si="16"/>
        <v>41074.25</v>
      </c>
      <c r="G148">
        <f t="shared" si="17"/>
        <v>103515363.0625</v>
      </c>
      <c r="H148">
        <f t="shared" si="18"/>
        <v>32.9263754045307</v>
      </c>
      <c r="J148">
        <f t="shared" si="19"/>
        <v>51508</v>
      </c>
    </row>
    <row r="149" spans="1:10">
      <c r="A149">
        <v>2022</v>
      </c>
      <c r="B149" t="s">
        <v>14</v>
      </c>
      <c r="C149">
        <v>19871</v>
      </c>
      <c r="E149">
        <f t="shared" si="16"/>
        <v>36455.5</v>
      </c>
      <c r="G149">
        <f t="shared" si="17"/>
        <v>275045640.25</v>
      </c>
      <c r="H149">
        <f t="shared" si="18"/>
        <v>83.4608223038599</v>
      </c>
      <c r="J149">
        <f t="shared" si="19"/>
        <v>30900</v>
      </c>
    </row>
    <row r="150" spans="1:10">
      <c r="A150">
        <v>2022</v>
      </c>
      <c r="B150" t="s">
        <v>16</v>
      </c>
      <c r="C150">
        <v>49941</v>
      </c>
      <c r="E150">
        <f t="shared" si="16"/>
        <v>34904.75</v>
      </c>
      <c r="G150">
        <f t="shared" si="17"/>
        <v>226088814.0625</v>
      </c>
      <c r="H150">
        <f t="shared" si="18"/>
        <v>-30.1080274724175</v>
      </c>
      <c r="J150">
        <f t="shared" si="19"/>
        <v>19871</v>
      </c>
    </row>
    <row r="151" spans="1:10">
      <c r="A151">
        <v>2022</v>
      </c>
      <c r="B151" t="s">
        <v>18</v>
      </c>
      <c r="C151">
        <v>44683</v>
      </c>
      <c r="E151">
        <f t="shared" si="16"/>
        <v>38055</v>
      </c>
      <c r="G151">
        <f t="shared" si="17"/>
        <v>43930384</v>
      </c>
      <c r="H151">
        <f t="shared" si="18"/>
        <v>-14.8333818230647</v>
      </c>
      <c r="J151">
        <f t="shared" si="19"/>
        <v>49941</v>
      </c>
    </row>
    <row r="152" spans="1:10">
      <c r="A152">
        <v>2022</v>
      </c>
      <c r="B152" t="s">
        <v>20</v>
      </c>
      <c r="C152">
        <v>51917</v>
      </c>
      <c r="E152">
        <f t="shared" si="16"/>
        <v>36348.75</v>
      </c>
      <c r="G152">
        <f t="shared" si="17"/>
        <v>242370408.0625</v>
      </c>
      <c r="H152">
        <f t="shared" si="18"/>
        <v>-29.9868058632047</v>
      </c>
      <c r="J152">
        <f t="shared" si="19"/>
        <v>44683</v>
      </c>
    </row>
    <row r="153" spans="1:10">
      <c r="A153">
        <v>2022</v>
      </c>
      <c r="B153" t="s">
        <v>21</v>
      </c>
      <c r="C153">
        <v>49949</v>
      </c>
      <c r="E153">
        <f t="shared" si="16"/>
        <v>41603</v>
      </c>
      <c r="G153">
        <f t="shared" si="17"/>
        <v>69655716</v>
      </c>
      <c r="H153">
        <f t="shared" si="18"/>
        <v>-16.7090432240886</v>
      </c>
      <c r="J153">
        <f t="shared" si="19"/>
        <v>51917</v>
      </c>
    </row>
    <row r="154" spans="1:10">
      <c r="A154">
        <v>2022</v>
      </c>
      <c r="B154" t="s">
        <v>22</v>
      </c>
      <c r="C154">
        <v>18310</v>
      </c>
      <c r="E154">
        <f t="shared" si="16"/>
        <v>49122.5</v>
      </c>
      <c r="G154">
        <f t="shared" si="17"/>
        <v>949410156.25</v>
      </c>
      <c r="H154">
        <f t="shared" si="18"/>
        <v>168.282359366466</v>
      </c>
      <c r="J154">
        <f t="shared" si="19"/>
        <v>49949</v>
      </c>
    </row>
    <row r="155" spans="1:10">
      <c r="A155">
        <v>2022</v>
      </c>
      <c r="B155" t="s">
        <v>23</v>
      </c>
      <c r="C155">
        <v>8241</v>
      </c>
      <c r="E155">
        <f t="shared" si="16"/>
        <v>41214.75</v>
      </c>
      <c r="G155">
        <f t="shared" si="17"/>
        <v>1087268189.0625</v>
      </c>
      <c r="H155">
        <f t="shared" si="18"/>
        <v>400.118310884601</v>
      </c>
      <c r="J155">
        <f t="shared" si="19"/>
        <v>18310</v>
      </c>
    </row>
    <row r="156" spans="1:10">
      <c r="A156">
        <v>2022</v>
      </c>
      <c r="B156" t="s">
        <v>24</v>
      </c>
      <c r="C156">
        <v>45477</v>
      </c>
      <c r="E156">
        <f t="shared" si="16"/>
        <v>32104.25</v>
      </c>
      <c r="G156">
        <f t="shared" si="17"/>
        <v>178830442.5625</v>
      </c>
      <c r="H156">
        <f t="shared" si="18"/>
        <v>-29.4055236713064</v>
      </c>
      <c r="J156">
        <f t="shared" si="19"/>
        <v>8241</v>
      </c>
    </row>
    <row r="157" spans="1:10">
      <c r="A157">
        <v>2022</v>
      </c>
      <c r="B157" t="s">
        <v>25</v>
      </c>
      <c r="C157">
        <v>32071</v>
      </c>
      <c r="E157">
        <f t="shared" si="16"/>
        <v>30494.25</v>
      </c>
      <c r="G157">
        <f t="shared" si="17"/>
        <v>2486140.5625</v>
      </c>
      <c r="H157">
        <f t="shared" si="18"/>
        <v>-4.91643540893642</v>
      </c>
      <c r="J157">
        <f t="shared" si="19"/>
        <v>45477</v>
      </c>
    </row>
    <row r="158" spans="1:10">
      <c r="A158">
        <v>2022</v>
      </c>
      <c r="B158" t="s">
        <v>26</v>
      </c>
      <c r="C158">
        <v>55211</v>
      </c>
      <c r="E158">
        <f t="shared" si="16"/>
        <v>26024.75</v>
      </c>
      <c r="G158">
        <f t="shared" si="17"/>
        <v>851837189.0625</v>
      </c>
      <c r="H158">
        <f t="shared" si="18"/>
        <v>-52.8631069895492</v>
      </c>
      <c r="J158">
        <f t="shared" si="19"/>
        <v>32071</v>
      </c>
    </row>
    <row r="159" spans="1:10">
      <c r="A159">
        <v>2023</v>
      </c>
      <c r="B159" t="s">
        <v>10</v>
      </c>
      <c r="C159">
        <v>27314</v>
      </c>
      <c r="E159">
        <f t="shared" si="16"/>
        <v>35250</v>
      </c>
      <c r="G159">
        <f t="shared" si="17"/>
        <v>62980096</v>
      </c>
      <c r="H159">
        <f t="shared" si="18"/>
        <v>29.0546972248664</v>
      </c>
      <c r="J159">
        <f t="shared" si="19"/>
        <v>55211</v>
      </c>
    </row>
    <row r="160" spans="1:10">
      <c r="A160">
        <v>2023</v>
      </c>
      <c r="B160" t="s">
        <v>12</v>
      </c>
      <c r="C160">
        <v>27522</v>
      </c>
      <c r="E160">
        <f t="shared" si="16"/>
        <v>40018.25</v>
      </c>
      <c r="G160">
        <f t="shared" si="17"/>
        <v>156156264.0625</v>
      </c>
      <c r="H160">
        <f t="shared" si="18"/>
        <v>45.404585422571</v>
      </c>
      <c r="J160">
        <f t="shared" si="19"/>
        <v>27314</v>
      </c>
    </row>
    <row r="161" spans="1:10">
      <c r="A161">
        <v>2023</v>
      </c>
      <c r="B161" t="s">
        <v>14</v>
      </c>
      <c r="C161">
        <v>53268</v>
      </c>
      <c r="E161">
        <f t="shared" si="16"/>
        <v>35529.5</v>
      </c>
      <c r="G161">
        <f t="shared" si="17"/>
        <v>314654382.25</v>
      </c>
      <c r="H161">
        <f t="shared" si="18"/>
        <v>-33.3004805887212</v>
      </c>
      <c r="J161">
        <f t="shared" si="19"/>
        <v>27522</v>
      </c>
    </row>
    <row r="162" spans="1:10">
      <c r="A162">
        <v>2023</v>
      </c>
      <c r="B162" t="s">
        <v>16</v>
      </c>
      <c r="C162">
        <v>49247</v>
      </c>
      <c r="E162">
        <f t="shared" si="16"/>
        <v>40828.75</v>
      </c>
      <c r="G162">
        <f t="shared" si="17"/>
        <v>70866933.0625</v>
      </c>
      <c r="H162">
        <f t="shared" si="18"/>
        <v>-17.0939346559181</v>
      </c>
      <c r="J162">
        <f t="shared" si="19"/>
        <v>53268</v>
      </c>
    </row>
    <row r="163" spans="1:10">
      <c r="A163">
        <v>2023</v>
      </c>
      <c r="B163" t="s">
        <v>18</v>
      </c>
      <c r="C163">
        <v>43020</v>
      </c>
      <c r="E163">
        <f t="shared" si="16"/>
        <v>39337.75</v>
      </c>
      <c r="G163">
        <f t="shared" si="17"/>
        <v>13558965.0625</v>
      </c>
      <c r="H163">
        <f t="shared" si="18"/>
        <v>-8.5593909809391</v>
      </c>
      <c r="J163">
        <f t="shared" si="19"/>
        <v>49247</v>
      </c>
    </row>
    <row r="164" spans="1:10">
      <c r="A164">
        <v>2023</v>
      </c>
      <c r="B164" t="s">
        <v>20</v>
      </c>
      <c r="C164">
        <v>8248</v>
      </c>
      <c r="E164">
        <f t="shared" si="16"/>
        <v>43264.25</v>
      </c>
      <c r="G164">
        <f t="shared" si="17"/>
        <v>1226137764.0625</v>
      </c>
      <c r="H164">
        <f t="shared" si="18"/>
        <v>424.54231328807</v>
      </c>
      <c r="J164">
        <f t="shared" si="19"/>
        <v>43020</v>
      </c>
    </row>
    <row r="165" spans="1:10">
      <c r="A165">
        <v>2023</v>
      </c>
      <c r="B165" t="s">
        <v>21</v>
      </c>
      <c r="C165">
        <v>32448</v>
      </c>
      <c r="E165">
        <f t="shared" si="16"/>
        <v>38445.75</v>
      </c>
      <c r="G165">
        <f t="shared" si="17"/>
        <v>35973005.0625</v>
      </c>
      <c r="H165">
        <f t="shared" si="18"/>
        <v>18.4841900887574</v>
      </c>
      <c r="J165">
        <f t="shared" si="19"/>
        <v>8248</v>
      </c>
    </row>
    <row r="166" spans="1:10">
      <c r="A166">
        <v>2023</v>
      </c>
      <c r="B166" t="s">
        <v>22</v>
      </c>
      <c r="C166">
        <v>47349</v>
      </c>
      <c r="E166">
        <f t="shared" si="16"/>
        <v>33240.75</v>
      </c>
      <c r="G166">
        <f t="shared" si="17"/>
        <v>199042718.0625</v>
      </c>
      <c r="H166">
        <f t="shared" si="18"/>
        <v>-29.796299816258</v>
      </c>
      <c r="J166">
        <f t="shared" si="19"/>
        <v>32448</v>
      </c>
    </row>
    <row r="167" spans="1:10">
      <c r="A167">
        <v>2023</v>
      </c>
      <c r="B167" t="s">
        <v>23</v>
      </c>
      <c r="C167">
        <v>20529</v>
      </c>
      <c r="E167">
        <f t="shared" si="16"/>
        <v>32766.25</v>
      </c>
      <c r="G167">
        <f t="shared" si="17"/>
        <v>149750287.5625</v>
      </c>
      <c r="H167">
        <f t="shared" si="18"/>
        <v>59.6095766963807</v>
      </c>
      <c r="J167">
        <f t="shared" si="19"/>
        <v>47349</v>
      </c>
    </row>
    <row r="168" spans="1:10">
      <c r="A168">
        <v>2023</v>
      </c>
      <c r="B168" t="s">
        <v>24</v>
      </c>
      <c r="C168">
        <v>9375</v>
      </c>
      <c r="E168">
        <f t="shared" ref="E168:E206" si="20">AVERAGE(C164:C167)</f>
        <v>27143.5</v>
      </c>
      <c r="G168">
        <f t="shared" ref="G168:G206" si="21">(E168-C168)^2</f>
        <v>315719592.25</v>
      </c>
      <c r="H168">
        <f t="shared" ref="H168:H206" si="22">((E168-C168)/C168)*100</f>
        <v>189.530666666667</v>
      </c>
      <c r="J168">
        <f t="shared" ref="J168:J206" si="23">C164+(C167-C166)+(C166-C165)+(C165-C164)</f>
        <v>20529</v>
      </c>
    </row>
    <row r="169" spans="1:10">
      <c r="A169">
        <v>2023</v>
      </c>
      <c r="B169" t="s">
        <v>25</v>
      </c>
      <c r="C169">
        <v>20179</v>
      </c>
      <c r="E169">
        <f t="shared" si="20"/>
        <v>27425.25</v>
      </c>
      <c r="G169">
        <f t="shared" si="21"/>
        <v>52508139.0625</v>
      </c>
      <c r="H169">
        <f t="shared" si="22"/>
        <v>35.9098567818029</v>
      </c>
      <c r="J169">
        <f t="shared" si="23"/>
        <v>9375</v>
      </c>
    </row>
    <row r="170" spans="1:10">
      <c r="A170">
        <v>2023</v>
      </c>
      <c r="B170" t="s">
        <v>26</v>
      </c>
      <c r="C170">
        <v>54022</v>
      </c>
      <c r="E170">
        <f t="shared" si="20"/>
        <v>24358</v>
      </c>
      <c r="G170">
        <f t="shared" si="21"/>
        <v>879952896</v>
      </c>
      <c r="H170">
        <f t="shared" si="22"/>
        <v>-54.9109622005849</v>
      </c>
      <c r="J170">
        <f t="shared" si="23"/>
        <v>20179</v>
      </c>
    </row>
    <row r="171" spans="1:10">
      <c r="A171">
        <v>2024</v>
      </c>
      <c r="B171" t="s">
        <v>10</v>
      </c>
      <c r="C171">
        <v>31727</v>
      </c>
      <c r="E171">
        <f t="shared" si="20"/>
        <v>26026.25</v>
      </c>
      <c r="G171">
        <f t="shared" si="21"/>
        <v>32498550.5625</v>
      </c>
      <c r="H171">
        <f t="shared" si="22"/>
        <v>-17.9681343965707</v>
      </c>
      <c r="J171">
        <f t="shared" si="23"/>
        <v>54022</v>
      </c>
    </row>
    <row r="172" spans="1:10">
      <c r="A172">
        <v>2024</v>
      </c>
      <c r="B172" t="s">
        <v>12</v>
      </c>
      <c r="C172">
        <v>13563</v>
      </c>
      <c r="E172">
        <f t="shared" si="20"/>
        <v>28825.75</v>
      </c>
      <c r="G172">
        <f t="shared" si="21"/>
        <v>232951537.5625</v>
      </c>
      <c r="H172">
        <f t="shared" si="22"/>
        <v>112.532256875323</v>
      </c>
      <c r="J172">
        <f t="shared" si="23"/>
        <v>31727</v>
      </c>
    </row>
    <row r="173" spans="1:10">
      <c r="A173">
        <v>2024</v>
      </c>
      <c r="B173" t="s">
        <v>14</v>
      </c>
      <c r="C173">
        <v>34710</v>
      </c>
      <c r="E173">
        <f t="shared" si="20"/>
        <v>29872.75</v>
      </c>
      <c r="G173">
        <f t="shared" si="21"/>
        <v>23398987.5625</v>
      </c>
      <c r="H173">
        <f t="shared" si="22"/>
        <v>-13.9361855373091</v>
      </c>
      <c r="J173">
        <f t="shared" si="23"/>
        <v>13563</v>
      </c>
    </row>
    <row r="174" spans="1:10">
      <c r="A174">
        <v>2024</v>
      </c>
      <c r="B174" t="s">
        <v>16</v>
      </c>
      <c r="C174">
        <v>13033</v>
      </c>
      <c r="E174">
        <f t="shared" si="20"/>
        <v>33505.5</v>
      </c>
      <c r="G174">
        <f t="shared" si="21"/>
        <v>419123256.25</v>
      </c>
      <c r="H174">
        <f t="shared" si="22"/>
        <v>157.082022558122</v>
      </c>
      <c r="J174">
        <f t="shared" si="23"/>
        <v>34710</v>
      </c>
    </row>
    <row r="175" spans="1:10">
      <c r="A175">
        <v>2024</v>
      </c>
      <c r="B175" t="s">
        <v>18</v>
      </c>
      <c r="C175">
        <v>32355</v>
      </c>
      <c r="E175">
        <f t="shared" si="20"/>
        <v>23258.25</v>
      </c>
      <c r="G175">
        <f t="shared" si="21"/>
        <v>82750860.5625</v>
      </c>
      <c r="H175">
        <f t="shared" si="22"/>
        <v>-28.115438108484</v>
      </c>
      <c r="J175">
        <f t="shared" si="23"/>
        <v>13033</v>
      </c>
    </row>
    <row r="176" spans="1:10">
      <c r="A176">
        <v>2024</v>
      </c>
      <c r="B176" t="s">
        <v>20</v>
      </c>
      <c r="C176">
        <v>48947</v>
      </c>
      <c r="E176">
        <f t="shared" si="20"/>
        <v>23415.25</v>
      </c>
      <c r="G176">
        <f t="shared" si="21"/>
        <v>651870258.0625</v>
      </c>
      <c r="H176">
        <f t="shared" si="22"/>
        <v>-52.1620324023944</v>
      </c>
      <c r="J176">
        <f t="shared" si="23"/>
        <v>32355</v>
      </c>
    </row>
    <row r="177" spans="1:10">
      <c r="A177">
        <v>2024</v>
      </c>
      <c r="B177" t="s">
        <v>21</v>
      </c>
      <c r="C177">
        <v>46679</v>
      </c>
      <c r="E177">
        <f t="shared" si="20"/>
        <v>32261.25</v>
      </c>
      <c r="G177">
        <f t="shared" si="21"/>
        <v>207871515.0625</v>
      </c>
      <c r="H177">
        <f t="shared" si="22"/>
        <v>-30.8870155744553</v>
      </c>
      <c r="J177">
        <f t="shared" si="23"/>
        <v>48947</v>
      </c>
    </row>
    <row r="178" spans="1:10">
      <c r="A178">
        <v>2024</v>
      </c>
      <c r="B178" t="s">
        <v>22</v>
      </c>
      <c r="C178">
        <v>39533</v>
      </c>
      <c r="E178">
        <f t="shared" si="20"/>
        <v>35253.5</v>
      </c>
      <c r="G178">
        <f t="shared" si="21"/>
        <v>18314120.25</v>
      </c>
      <c r="H178">
        <f t="shared" si="22"/>
        <v>-10.8251334328283</v>
      </c>
      <c r="J178">
        <f t="shared" si="23"/>
        <v>46679</v>
      </c>
    </row>
    <row r="179" spans="1:10">
      <c r="A179">
        <v>2024</v>
      </c>
      <c r="B179" t="s">
        <v>23</v>
      </c>
      <c r="C179">
        <v>18074</v>
      </c>
      <c r="E179">
        <f t="shared" si="20"/>
        <v>41878.5</v>
      </c>
      <c r="G179">
        <f t="shared" si="21"/>
        <v>566654220.25</v>
      </c>
      <c r="H179">
        <f t="shared" si="22"/>
        <v>131.705765187562</v>
      </c>
      <c r="J179">
        <f t="shared" si="23"/>
        <v>39533</v>
      </c>
    </row>
    <row r="180" spans="1:10">
      <c r="A180">
        <v>2024</v>
      </c>
      <c r="B180" t="s">
        <v>24</v>
      </c>
      <c r="C180">
        <v>36853</v>
      </c>
      <c r="E180">
        <f t="shared" si="20"/>
        <v>38308.25</v>
      </c>
      <c r="G180">
        <f t="shared" si="21"/>
        <v>2117752.5625</v>
      </c>
      <c r="H180">
        <f t="shared" si="22"/>
        <v>3.94879657015711</v>
      </c>
      <c r="J180">
        <f t="shared" si="23"/>
        <v>18074</v>
      </c>
    </row>
    <row r="181" spans="1:10">
      <c r="A181">
        <v>2024</v>
      </c>
      <c r="B181" t="s">
        <v>25</v>
      </c>
      <c r="C181">
        <v>30332</v>
      </c>
      <c r="E181">
        <f t="shared" si="20"/>
        <v>35284.75</v>
      </c>
      <c r="G181">
        <f t="shared" si="21"/>
        <v>24529732.5625</v>
      </c>
      <c r="H181">
        <f t="shared" si="22"/>
        <v>16.328464987472</v>
      </c>
      <c r="J181">
        <f t="shared" si="23"/>
        <v>36853</v>
      </c>
    </row>
    <row r="182" spans="1:10">
      <c r="A182">
        <v>2024</v>
      </c>
      <c r="B182" t="s">
        <v>26</v>
      </c>
      <c r="C182">
        <v>18320</v>
      </c>
      <c r="E182">
        <f t="shared" si="20"/>
        <v>31198</v>
      </c>
      <c r="G182">
        <f t="shared" si="21"/>
        <v>165842884</v>
      </c>
      <c r="H182">
        <f t="shared" si="22"/>
        <v>70.2947598253275</v>
      </c>
      <c r="J182">
        <f t="shared" si="23"/>
        <v>30332</v>
      </c>
    </row>
    <row r="183" spans="1:10">
      <c r="A183">
        <v>2025</v>
      </c>
      <c r="B183" t="s">
        <v>10</v>
      </c>
      <c r="C183">
        <v>36784</v>
      </c>
      <c r="E183">
        <f t="shared" si="20"/>
        <v>25894.75</v>
      </c>
      <c r="G183">
        <f t="shared" si="21"/>
        <v>118575765.5625</v>
      </c>
      <c r="H183">
        <f t="shared" si="22"/>
        <v>-29.6032242279252</v>
      </c>
      <c r="J183">
        <f t="shared" si="23"/>
        <v>18320</v>
      </c>
    </row>
    <row r="184" spans="1:10">
      <c r="A184">
        <v>2025</v>
      </c>
      <c r="B184" t="s">
        <v>12</v>
      </c>
      <c r="C184">
        <v>31094</v>
      </c>
      <c r="E184">
        <f t="shared" si="20"/>
        <v>30572.25</v>
      </c>
      <c r="G184">
        <f t="shared" si="21"/>
        <v>272223.0625</v>
      </c>
      <c r="H184">
        <f t="shared" si="22"/>
        <v>-1.67797645848074</v>
      </c>
      <c r="J184">
        <f t="shared" si="23"/>
        <v>36784</v>
      </c>
    </row>
    <row r="185" spans="1:10">
      <c r="A185">
        <v>2025</v>
      </c>
      <c r="B185" t="s">
        <v>14</v>
      </c>
      <c r="C185">
        <v>21874</v>
      </c>
      <c r="E185">
        <f t="shared" si="20"/>
        <v>29132.5</v>
      </c>
      <c r="G185">
        <f t="shared" si="21"/>
        <v>52685822.25</v>
      </c>
      <c r="H185">
        <f t="shared" si="22"/>
        <v>33.1832312334278</v>
      </c>
      <c r="J185">
        <f t="shared" si="23"/>
        <v>31094</v>
      </c>
    </row>
    <row r="186" spans="1:10">
      <c r="A186">
        <v>2025</v>
      </c>
      <c r="B186" t="s">
        <v>16</v>
      </c>
      <c r="C186">
        <v>49575</v>
      </c>
      <c r="E186">
        <f t="shared" si="20"/>
        <v>27018</v>
      </c>
      <c r="G186">
        <f t="shared" si="21"/>
        <v>508818249</v>
      </c>
      <c r="H186">
        <f t="shared" si="22"/>
        <v>-45.500756429652</v>
      </c>
      <c r="J186">
        <f t="shared" si="23"/>
        <v>21874</v>
      </c>
    </row>
    <row r="187" spans="1:10">
      <c r="A187">
        <v>2025</v>
      </c>
      <c r="B187" t="s">
        <v>18</v>
      </c>
      <c r="C187">
        <v>10823</v>
      </c>
      <c r="E187">
        <f t="shared" si="20"/>
        <v>34831.75</v>
      </c>
      <c r="G187">
        <f t="shared" si="21"/>
        <v>576420076.5625</v>
      </c>
      <c r="H187">
        <f t="shared" si="22"/>
        <v>221.830823246789</v>
      </c>
      <c r="J187">
        <f t="shared" si="23"/>
        <v>49575</v>
      </c>
    </row>
    <row r="188" spans="1:10">
      <c r="A188">
        <v>2025</v>
      </c>
      <c r="B188" t="s">
        <v>20</v>
      </c>
      <c r="C188">
        <v>49543</v>
      </c>
      <c r="E188">
        <f t="shared" si="20"/>
        <v>28341.5</v>
      </c>
      <c r="G188">
        <f t="shared" si="21"/>
        <v>449503602.25</v>
      </c>
      <c r="H188">
        <f t="shared" si="22"/>
        <v>-42.7941384252064</v>
      </c>
      <c r="J188">
        <f t="shared" si="23"/>
        <v>10823</v>
      </c>
    </row>
    <row r="189" spans="1:10">
      <c r="A189">
        <v>2025</v>
      </c>
      <c r="B189" t="s">
        <v>21</v>
      </c>
      <c r="C189">
        <v>33425</v>
      </c>
      <c r="E189">
        <f t="shared" si="20"/>
        <v>32953.75</v>
      </c>
      <c r="G189">
        <f t="shared" si="21"/>
        <v>222076.5625</v>
      </c>
      <c r="H189">
        <f t="shared" si="22"/>
        <v>-1.40987284966343</v>
      </c>
      <c r="J189">
        <f t="shared" si="23"/>
        <v>49543</v>
      </c>
    </row>
    <row r="190" spans="1:10">
      <c r="A190">
        <v>2025</v>
      </c>
      <c r="B190" t="s">
        <v>22</v>
      </c>
      <c r="C190">
        <v>35334</v>
      </c>
      <c r="E190">
        <f t="shared" si="20"/>
        <v>35841.5</v>
      </c>
      <c r="G190">
        <f t="shared" si="21"/>
        <v>257556.25</v>
      </c>
      <c r="H190">
        <f t="shared" si="22"/>
        <v>1.4362936548367</v>
      </c>
      <c r="J190">
        <f t="shared" si="23"/>
        <v>33425</v>
      </c>
    </row>
    <row r="191" spans="1:10">
      <c r="A191">
        <v>2025</v>
      </c>
      <c r="B191" t="s">
        <v>23</v>
      </c>
      <c r="C191">
        <v>22825</v>
      </c>
      <c r="E191">
        <f t="shared" si="20"/>
        <v>32281.25</v>
      </c>
      <c r="G191">
        <f t="shared" si="21"/>
        <v>89420664.0625</v>
      </c>
      <c r="H191">
        <f t="shared" si="22"/>
        <v>41.4293537787514</v>
      </c>
      <c r="J191">
        <f t="shared" si="23"/>
        <v>35334</v>
      </c>
    </row>
    <row r="192" spans="1:10">
      <c r="A192">
        <v>2025</v>
      </c>
      <c r="B192" t="s">
        <v>24</v>
      </c>
      <c r="C192">
        <v>31471</v>
      </c>
      <c r="E192">
        <f t="shared" si="20"/>
        <v>35281.75</v>
      </c>
      <c r="G192">
        <f t="shared" si="21"/>
        <v>14521815.5625</v>
      </c>
      <c r="H192">
        <f t="shared" si="22"/>
        <v>12.108766801182</v>
      </c>
      <c r="J192">
        <f t="shared" si="23"/>
        <v>22825</v>
      </c>
    </row>
    <row r="193" spans="1:10">
      <c r="A193">
        <v>2025</v>
      </c>
      <c r="B193" t="s">
        <v>25</v>
      </c>
      <c r="C193">
        <v>25663</v>
      </c>
      <c r="E193">
        <f t="shared" si="20"/>
        <v>30763.75</v>
      </c>
      <c r="G193">
        <f t="shared" si="21"/>
        <v>26017650.5625</v>
      </c>
      <c r="H193">
        <f t="shared" si="22"/>
        <v>19.8758913611035</v>
      </c>
      <c r="J193">
        <f t="shared" si="23"/>
        <v>31471</v>
      </c>
    </row>
    <row r="194" spans="1:10">
      <c r="A194">
        <v>2025</v>
      </c>
      <c r="B194" t="s">
        <v>26</v>
      </c>
      <c r="C194">
        <v>43360</v>
      </c>
      <c r="E194">
        <f t="shared" si="20"/>
        <v>28823.25</v>
      </c>
      <c r="G194">
        <f t="shared" si="21"/>
        <v>211317100.5625</v>
      </c>
      <c r="H194">
        <f t="shared" si="22"/>
        <v>-33.5257149446495</v>
      </c>
      <c r="J194">
        <f t="shared" si="23"/>
        <v>25663</v>
      </c>
    </row>
    <row r="195" spans="1:10">
      <c r="A195">
        <v>2026</v>
      </c>
      <c r="B195" t="s">
        <v>10</v>
      </c>
      <c r="C195">
        <v>11762</v>
      </c>
      <c r="E195">
        <f t="shared" si="20"/>
        <v>30829.75</v>
      </c>
      <c r="G195">
        <f t="shared" si="21"/>
        <v>363579090.0625</v>
      </c>
      <c r="H195">
        <f t="shared" si="22"/>
        <v>162.113161027036</v>
      </c>
      <c r="J195">
        <f t="shared" si="23"/>
        <v>43360</v>
      </c>
    </row>
    <row r="196" spans="1:10">
      <c r="A196">
        <v>2026</v>
      </c>
      <c r="B196" t="s">
        <v>12</v>
      </c>
      <c r="C196">
        <v>9198</v>
      </c>
      <c r="E196">
        <f t="shared" si="20"/>
        <v>28064</v>
      </c>
      <c r="G196">
        <f t="shared" si="21"/>
        <v>355925956</v>
      </c>
      <c r="H196">
        <f t="shared" si="22"/>
        <v>205.109806479669</v>
      </c>
      <c r="J196">
        <f t="shared" si="23"/>
        <v>11762</v>
      </c>
    </row>
    <row r="197" spans="1:10">
      <c r="A197">
        <v>2026</v>
      </c>
      <c r="B197" t="s">
        <v>14</v>
      </c>
      <c r="C197">
        <v>44658</v>
      </c>
      <c r="E197">
        <f t="shared" si="20"/>
        <v>22495.75</v>
      </c>
      <c r="G197">
        <f t="shared" si="21"/>
        <v>491165325.0625</v>
      </c>
      <c r="H197">
        <f t="shared" si="22"/>
        <v>-49.6266066550226</v>
      </c>
      <c r="J197">
        <f t="shared" si="23"/>
        <v>9198</v>
      </c>
    </row>
    <row r="198" spans="1:10">
      <c r="A198">
        <v>2026</v>
      </c>
      <c r="B198" t="s">
        <v>16</v>
      </c>
      <c r="C198">
        <v>33903</v>
      </c>
      <c r="E198">
        <f t="shared" si="20"/>
        <v>27244.5</v>
      </c>
      <c r="G198">
        <f t="shared" si="21"/>
        <v>44335622.25</v>
      </c>
      <c r="H198">
        <f t="shared" si="22"/>
        <v>-19.6398548800991</v>
      </c>
      <c r="J198">
        <f t="shared" si="23"/>
        <v>44658</v>
      </c>
    </row>
    <row r="199" spans="1:10">
      <c r="A199">
        <v>2026</v>
      </c>
      <c r="B199" t="s">
        <v>18</v>
      </c>
      <c r="C199">
        <v>10847</v>
      </c>
      <c r="E199">
        <f t="shared" si="20"/>
        <v>24880.25</v>
      </c>
      <c r="G199">
        <f t="shared" si="21"/>
        <v>196932105.5625</v>
      </c>
      <c r="H199">
        <f t="shared" si="22"/>
        <v>129.374481423435</v>
      </c>
      <c r="J199">
        <f t="shared" si="23"/>
        <v>33903</v>
      </c>
    </row>
    <row r="200" spans="1:10">
      <c r="A200">
        <v>2026</v>
      </c>
      <c r="B200" t="s">
        <v>20</v>
      </c>
      <c r="C200">
        <v>39354</v>
      </c>
      <c r="E200">
        <f t="shared" si="20"/>
        <v>24651.5</v>
      </c>
      <c r="G200">
        <f t="shared" si="21"/>
        <v>216163506.25</v>
      </c>
      <c r="H200">
        <f t="shared" si="22"/>
        <v>-37.3596076637699</v>
      </c>
      <c r="J200">
        <f t="shared" si="23"/>
        <v>10847</v>
      </c>
    </row>
    <row r="201" spans="1:10">
      <c r="A201">
        <v>2026</v>
      </c>
      <c r="B201" t="s">
        <v>21</v>
      </c>
      <c r="C201">
        <v>36747</v>
      </c>
      <c r="E201">
        <f t="shared" si="20"/>
        <v>32190.5</v>
      </c>
      <c r="G201">
        <f t="shared" si="21"/>
        <v>20761692.25</v>
      </c>
      <c r="H201">
        <f t="shared" si="22"/>
        <v>-12.3996516722454</v>
      </c>
      <c r="J201">
        <f t="shared" si="23"/>
        <v>39354</v>
      </c>
    </row>
    <row r="202" spans="1:10">
      <c r="A202">
        <v>2026</v>
      </c>
      <c r="B202" t="s">
        <v>22</v>
      </c>
      <c r="C202">
        <v>52855</v>
      </c>
      <c r="E202">
        <f t="shared" si="20"/>
        <v>30212.75</v>
      </c>
      <c r="G202">
        <f t="shared" si="21"/>
        <v>512671485.0625</v>
      </c>
      <c r="H202">
        <f t="shared" si="22"/>
        <v>-42.8384258821304</v>
      </c>
      <c r="J202">
        <f t="shared" si="23"/>
        <v>36747</v>
      </c>
    </row>
    <row r="203" spans="1:10">
      <c r="A203">
        <v>2027</v>
      </c>
      <c r="B203" t="s">
        <v>27</v>
      </c>
      <c r="E203">
        <f t="shared" si="20"/>
        <v>34950.75</v>
      </c>
      <c r="G203">
        <f t="shared" si="21"/>
        <v>1221554925.5625</v>
      </c>
      <c r="H203" t="e">
        <f t="shared" si="22"/>
        <v>#DIV/0!</v>
      </c>
      <c r="J203">
        <f t="shared" si="23"/>
        <v>52855</v>
      </c>
    </row>
    <row r="204" spans="2:10">
      <c r="B204" t="s">
        <v>28</v>
      </c>
      <c r="E204">
        <f t="shared" si="20"/>
        <v>42985.3333333333</v>
      </c>
      <c r="G204">
        <f t="shared" si="21"/>
        <v>1847738881.77778</v>
      </c>
      <c r="H204" t="e">
        <f t="shared" si="22"/>
        <v>#DIV/0!</v>
      </c>
      <c r="J204">
        <f t="shared" si="23"/>
        <v>0</v>
      </c>
    </row>
    <row r="205" spans="2:10">
      <c r="B205" t="s">
        <v>29</v>
      </c>
      <c r="E205">
        <f t="shared" si="20"/>
        <v>44801</v>
      </c>
      <c r="G205">
        <f t="shared" si="21"/>
        <v>2007129601</v>
      </c>
      <c r="H205" t="e">
        <f t="shared" si="22"/>
        <v>#DIV/0!</v>
      </c>
      <c r="J205">
        <f t="shared" si="23"/>
        <v>0</v>
      </c>
    </row>
    <row r="206" spans="2:10">
      <c r="B206" t="s">
        <v>30</v>
      </c>
      <c r="E206">
        <f t="shared" si="20"/>
        <v>52855</v>
      </c>
      <c r="G206">
        <f t="shared" si="21"/>
        <v>2793651025</v>
      </c>
      <c r="H206" t="e">
        <f t="shared" si="22"/>
        <v>#DIV/0!</v>
      </c>
      <c r="J206">
        <f t="shared" si="23"/>
        <v>0</v>
      </c>
    </row>
    <row r="207" spans="7:7">
      <c r="G207">
        <f>AVERAGE(G7:G206)/200</f>
        <v>1419095.93304288</v>
      </c>
    </row>
    <row r="208" spans="7:7">
      <c r="G208">
        <f>SQRT(G207)</f>
        <v>1191.25813031554</v>
      </c>
    </row>
    <row r="209" spans="7:7">
      <c r="G209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 KUMAR PANDEY</cp:lastModifiedBy>
  <dcterms:created xsi:type="dcterms:W3CDTF">2026-01-07T19:36:00Z</dcterms:created>
  <dcterms:modified xsi:type="dcterms:W3CDTF">2026-01-08T15:59:46Z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95BB5101FB6C4E0087EA94E32BEE12BC_12</vt:lpwstr>
  </property>
  <property fmtid="{D5CDD505-2E9C-101B-9397-08002B2CF9AE}" pid="3" name="KSOProductBuildVer">
    <vt:lpwstr>1033-12.2.0.23196</vt:lpwstr>
  </property>
</Properties>
</file>